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537fde18f1f228/PhD/REMEMVR/"/>
    </mc:Choice>
  </mc:AlternateContent>
  <xr:revisionPtr revIDLastSave="7340" documentId="8_{AC49C64C-83F4-46AA-A5BF-EC8CB329EF72}" xr6:coauthVersionLast="47" xr6:coauthVersionMax="47" xr10:uidLastSave="{42A35757-1628-4DFA-991A-D5C2E8AAEF23}"/>
  <bookViews>
    <workbookView xWindow="-110" yWindow="-110" windowWidth="19420" windowHeight="10420" activeTab="2" xr2:uid="{3D42DCD3-E862-4FBE-BD7A-845C6028A2A0}"/>
  </bookViews>
  <sheets>
    <sheet name="Old" sheetId="1" r:id="rId1"/>
    <sheet name="Items" sheetId="8" r:id="rId2"/>
    <sheet name="Sheet3" sheetId="25" r:id="rId3"/>
    <sheet name="Sheet5" sheetId="26" r:id="rId4"/>
    <sheet name="Item Counterbalance" sheetId="7" r:id="rId5"/>
    <sheet name="Tasks" sheetId="9" r:id="rId6"/>
    <sheet name="Item Foils" sheetId="11" r:id="rId7"/>
    <sheet name="Quiz" sheetId="10" r:id="rId8"/>
    <sheet name="Sheet2" sheetId="14" r:id="rId9"/>
    <sheet name="Test Structure" sheetId="12" r:id="rId10"/>
    <sheet name="Quiz Revised" sheetId="13" r:id="rId11"/>
    <sheet name="Quiz Format" sheetId="20" r:id="rId12"/>
    <sheet name="Quiz Official" sheetId="22" r:id="rId13"/>
    <sheet name="Sheet10" sheetId="24" r:id="rId14"/>
    <sheet name="Sheet4" sheetId="16" r:id="rId15"/>
    <sheet name="item recog pic order" sheetId="18" r:id="rId16"/>
    <sheet name="Sheet1" sheetId="17" r:id="rId17"/>
    <sheet name="Sheet7" sheetId="2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25" l="1"/>
  <c r="AA8" i="25"/>
  <c r="AA11" i="25"/>
  <c r="AA5" i="25"/>
  <c r="P46" i="25" l="1"/>
  <c r="V46" i="25" s="1"/>
  <c r="P45" i="25"/>
  <c r="P44" i="25"/>
  <c r="P43" i="25"/>
  <c r="P42" i="25"/>
  <c r="P41" i="25"/>
  <c r="P34" i="25"/>
  <c r="P33" i="25"/>
  <c r="P32" i="25"/>
  <c r="P31" i="25"/>
  <c r="P30" i="25"/>
  <c r="P29" i="25"/>
  <c r="V29" i="25" s="1"/>
  <c r="P22" i="25"/>
  <c r="P21" i="25"/>
  <c r="P20" i="25"/>
  <c r="P19" i="25"/>
  <c r="P18" i="25"/>
  <c r="V18" i="25" s="1"/>
  <c r="P17" i="25"/>
  <c r="V17" i="25" s="1"/>
  <c r="P6" i="25"/>
  <c r="P7" i="25"/>
  <c r="P8" i="25"/>
  <c r="P9" i="25"/>
  <c r="P10" i="25"/>
  <c r="P5" i="25"/>
  <c r="R46" i="25"/>
  <c r="Q46" i="25"/>
  <c r="O46" i="25"/>
  <c r="R45" i="25"/>
  <c r="Q45" i="25"/>
  <c r="V45" i="25" s="1"/>
  <c r="O45" i="25"/>
  <c r="R44" i="25"/>
  <c r="Q44" i="25"/>
  <c r="V44" i="25"/>
  <c r="O44" i="25"/>
  <c r="R43" i="25"/>
  <c r="V43" i="25" s="1"/>
  <c r="Q43" i="25"/>
  <c r="O43" i="25"/>
  <c r="R42" i="25"/>
  <c r="Q42" i="25"/>
  <c r="O42" i="25"/>
  <c r="R41" i="25"/>
  <c r="Q41" i="25"/>
  <c r="O41" i="25"/>
  <c r="R34" i="25"/>
  <c r="Q34" i="25"/>
  <c r="O34" i="25"/>
  <c r="R33" i="25"/>
  <c r="Q33" i="25"/>
  <c r="V33" i="25"/>
  <c r="O33" i="25"/>
  <c r="R32" i="25"/>
  <c r="Q32" i="25"/>
  <c r="V32" i="25" s="1"/>
  <c r="O32" i="25"/>
  <c r="R31" i="25"/>
  <c r="Q31" i="25"/>
  <c r="O31" i="25"/>
  <c r="R30" i="25"/>
  <c r="Q30" i="25"/>
  <c r="O30" i="25"/>
  <c r="R29" i="25"/>
  <c r="Q29" i="25"/>
  <c r="O29" i="25"/>
  <c r="R22" i="25"/>
  <c r="Q22" i="25"/>
  <c r="V22" i="25"/>
  <c r="O22" i="25"/>
  <c r="R21" i="25"/>
  <c r="Q21" i="25"/>
  <c r="O21" i="25"/>
  <c r="R20" i="25"/>
  <c r="Q20" i="25"/>
  <c r="O20" i="25"/>
  <c r="R19" i="25"/>
  <c r="Q19" i="25"/>
  <c r="O19" i="25"/>
  <c r="R18" i="25"/>
  <c r="Q18" i="25"/>
  <c r="O18" i="25"/>
  <c r="R17" i="25"/>
  <c r="Q17" i="25"/>
  <c r="O17" i="25"/>
  <c r="R6" i="25"/>
  <c r="R7" i="25"/>
  <c r="R8" i="25"/>
  <c r="R9" i="25"/>
  <c r="R10" i="25"/>
  <c r="R5" i="25"/>
  <c r="Q6" i="25"/>
  <c r="Q7" i="25"/>
  <c r="Q8" i="25"/>
  <c r="Q9" i="25"/>
  <c r="Q10" i="25"/>
  <c r="Q5" i="25"/>
  <c r="V42" i="25"/>
  <c r="V34" i="25"/>
  <c r="V30" i="25"/>
  <c r="V7" i="25"/>
  <c r="V8" i="25"/>
  <c r="O6" i="25"/>
  <c r="O7" i="25"/>
  <c r="O8" i="25"/>
  <c r="O9" i="25"/>
  <c r="O10" i="25"/>
  <c r="O5" i="25"/>
  <c r="J37" i="8"/>
  <c r="V41" i="25" l="1"/>
  <c r="V31" i="25"/>
  <c r="V20" i="25"/>
  <c r="V19" i="25"/>
  <c r="V21" i="25"/>
  <c r="V10" i="25"/>
  <c r="V9" i="25"/>
  <c r="V6" i="25"/>
  <c r="V5" i="25"/>
  <c r="D2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1" i="24"/>
  <c r="D59" i="22"/>
  <c r="D57" i="22"/>
  <c r="D55" i="22"/>
  <c r="D53" i="22"/>
  <c r="D51" i="22"/>
  <c r="D49" i="22"/>
  <c r="D47" i="22"/>
  <c r="D45" i="22"/>
  <c r="D43" i="22"/>
  <c r="D41" i="22"/>
  <c r="D39" i="22"/>
  <c r="D37" i="22"/>
  <c r="D35" i="22"/>
  <c r="D33" i="22"/>
  <c r="D31" i="22"/>
  <c r="D29" i="22"/>
  <c r="D27" i="22"/>
  <c r="D25" i="22"/>
  <c r="D23" i="22"/>
  <c r="B29" i="20"/>
  <c r="B30" i="20"/>
  <c r="B31" i="20"/>
  <c r="B32" i="20"/>
  <c r="B33" i="20"/>
  <c r="B28" i="20"/>
  <c r="I23" i="21"/>
  <c r="I13" i="21"/>
  <c r="I14" i="21" s="1"/>
  <c r="I15" i="21" s="1"/>
  <c r="I16" i="21" s="1"/>
  <c r="I17" i="21" s="1"/>
  <c r="I18" i="21" s="1"/>
  <c r="I19" i="21" s="1"/>
  <c r="I20" i="21" s="1"/>
  <c r="I12" i="21"/>
  <c r="F13" i="21"/>
  <c r="G13" i="21" s="1"/>
  <c r="F14" i="21" s="1"/>
  <c r="G14" i="21" s="1"/>
  <c r="F15" i="21" s="1"/>
  <c r="G15" i="21" s="1"/>
  <c r="F16" i="21" s="1"/>
  <c r="G16" i="21" s="1"/>
  <c r="F17" i="21" s="1"/>
  <c r="G17" i="21" s="1"/>
  <c r="F18" i="21" s="1"/>
  <c r="G18" i="21" s="1"/>
  <c r="F19" i="21" s="1"/>
  <c r="G19" i="21" s="1"/>
  <c r="F20" i="21" s="1"/>
  <c r="G20" i="21" s="1"/>
  <c r="G12" i="21"/>
  <c r="F12" i="21"/>
  <c r="K205" i="20"/>
  <c r="K206" i="20" s="1"/>
  <c r="K207" i="20" s="1"/>
  <c r="F34" i="20"/>
  <c r="F35" i="20" s="1"/>
  <c r="F36" i="20" s="1"/>
  <c r="F37" i="20" s="1"/>
  <c r="F38" i="20" s="1"/>
  <c r="F39" i="20" s="1"/>
  <c r="F40" i="20" s="1"/>
  <c r="F41" i="20" s="1"/>
  <c r="F42" i="20" s="1"/>
  <c r="F44" i="20" s="1"/>
  <c r="F46" i="20" s="1"/>
  <c r="F48" i="20" s="1"/>
  <c r="F50" i="20" s="1"/>
  <c r="F52" i="20" s="1"/>
  <c r="F54" i="20" s="1"/>
  <c r="F56" i="20" s="1"/>
  <c r="F58" i="20" s="1"/>
  <c r="F60" i="20" s="1"/>
  <c r="F62" i="20" s="1"/>
  <c r="F64" i="20" s="1"/>
  <c r="F66" i="20" s="1"/>
  <c r="F68" i="20" s="1"/>
  <c r="F70" i="20" s="1"/>
  <c r="F72" i="20" s="1"/>
  <c r="F74" i="20" s="1"/>
  <c r="F76" i="20" s="1"/>
  <c r="F78" i="20" s="1"/>
  <c r="F80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F103" i="20" s="1"/>
  <c r="F104" i="20" s="1"/>
  <c r="F105" i="20" s="1"/>
  <c r="F106" i="20" s="1"/>
  <c r="F107" i="20" s="1"/>
  <c r="F108" i="20" s="1"/>
  <c r="F109" i="20" s="1"/>
  <c r="F110" i="20" s="1"/>
  <c r="F111" i="20" s="1"/>
  <c r="F112" i="20" s="1"/>
  <c r="F113" i="20" s="1"/>
  <c r="F114" i="20" s="1"/>
  <c r="F115" i="20" s="1"/>
  <c r="F116" i="20" s="1"/>
  <c r="F117" i="20" s="1"/>
  <c r="F118" i="20" s="1"/>
  <c r="F119" i="20" s="1"/>
  <c r="F120" i="20" s="1"/>
  <c r="F121" i="20" s="1"/>
  <c r="F122" i="20" s="1"/>
  <c r="F123" i="20" s="1"/>
  <c r="F124" i="20" s="1"/>
  <c r="F125" i="20" s="1"/>
  <c r="F126" i="20" s="1"/>
  <c r="F127" i="20" s="1"/>
  <c r="F128" i="20" s="1"/>
  <c r="F129" i="20" s="1"/>
  <c r="F130" i="20" s="1"/>
  <c r="F131" i="20" s="1"/>
  <c r="F132" i="20" s="1"/>
  <c r="F133" i="20" s="1"/>
  <c r="F134" i="20" s="1"/>
  <c r="F135" i="20" s="1"/>
  <c r="F136" i="20" s="1"/>
  <c r="F137" i="20" s="1"/>
  <c r="F138" i="20" s="1"/>
  <c r="F139" i="20" s="1"/>
  <c r="F140" i="20" s="1"/>
  <c r="F141" i="20" s="1"/>
  <c r="F142" i="20" s="1"/>
  <c r="F143" i="20" s="1"/>
  <c r="F144" i="20" s="1"/>
  <c r="F145" i="20" s="1"/>
  <c r="F146" i="20" s="1"/>
  <c r="F147" i="20" s="1"/>
  <c r="F148" i="20" s="1"/>
  <c r="F149" i="20" s="1"/>
  <c r="F150" i="20" s="1"/>
  <c r="F151" i="20" s="1"/>
  <c r="F152" i="20" s="1"/>
  <c r="F153" i="20" s="1"/>
  <c r="F154" i="20" s="1"/>
  <c r="F155" i="20" s="1"/>
  <c r="F156" i="20" s="1"/>
  <c r="F157" i="20" s="1"/>
  <c r="F158" i="20" s="1"/>
  <c r="F159" i="20" s="1"/>
  <c r="F160" i="20" s="1"/>
  <c r="F161" i="20" s="1"/>
  <c r="F162" i="20" s="1"/>
  <c r="F163" i="20" s="1"/>
  <c r="F164" i="20" s="1"/>
  <c r="F165" i="20" s="1"/>
  <c r="F166" i="20" s="1"/>
  <c r="F167" i="20" s="1"/>
  <c r="F168" i="20" s="1"/>
  <c r="M5" i="13"/>
  <c r="M6" i="13"/>
  <c r="M7" i="13" s="1"/>
  <c r="M8" i="13" s="1"/>
  <c r="M9" i="13" s="1"/>
  <c r="M10" i="13" s="1"/>
  <c r="M11" i="13" s="1"/>
  <c r="M12" i="13" s="1"/>
  <c r="M4" i="13"/>
  <c r="B42" i="20" l="1"/>
  <c r="B38" i="20"/>
  <c r="B41" i="20"/>
  <c r="B40" i="20"/>
  <c r="B39" i="20"/>
  <c r="B37" i="20"/>
  <c r="B36" i="20"/>
  <c r="B34" i="20"/>
  <c r="B35" i="20"/>
  <c r="Q154" i="13"/>
  <c r="Q155" i="13" s="1"/>
  <c r="Q156" i="13" s="1"/>
  <c r="N4" i="13"/>
  <c r="N5" i="13" s="1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U130" i="13"/>
  <c r="V130" i="13"/>
  <c r="T130" i="13"/>
  <c r="K124" i="13"/>
  <c r="L124" i="13"/>
  <c r="J124" i="13"/>
  <c r="G124" i="13"/>
  <c r="H124" i="13"/>
  <c r="F124" i="13"/>
  <c r="C124" i="13"/>
  <c r="D124" i="13"/>
  <c r="B124" i="13"/>
  <c r="C121" i="13"/>
  <c r="D121" i="13"/>
  <c r="F121" i="13"/>
  <c r="G121" i="13"/>
  <c r="H121" i="13"/>
  <c r="J121" i="13"/>
  <c r="K121" i="13"/>
  <c r="L121" i="13"/>
  <c r="B121" i="13"/>
  <c r="D38" i="18"/>
  <c r="E38" i="18"/>
  <c r="F38" i="18"/>
  <c r="G38" i="18"/>
  <c r="H38" i="18"/>
  <c r="I38" i="18"/>
  <c r="D39" i="18"/>
  <c r="E39" i="18"/>
  <c r="F39" i="18"/>
  <c r="G39" i="18"/>
  <c r="H39" i="18"/>
  <c r="I39" i="18"/>
  <c r="D40" i="18"/>
  <c r="E40" i="18"/>
  <c r="F40" i="18"/>
  <c r="G40" i="18"/>
  <c r="H40" i="18"/>
  <c r="I40" i="18"/>
  <c r="D41" i="18"/>
  <c r="E41" i="18"/>
  <c r="F41" i="18"/>
  <c r="G41" i="18"/>
  <c r="H41" i="18"/>
  <c r="I41" i="18"/>
  <c r="D43" i="18"/>
  <c r="E43" i="18"/>
  <c r="F43" i="18"/>
  <c r="G43" i="18"/>
  <c r="H43" i="18"/>
  <c r="I43" i="18"/>
  <c r="D44" i="18"/>
  <c r="E44" i="18"/>
  <c r="F44" i="18"/>
  <c r="G44" i="18"/>
  <c r="H44" i="18"/>
  <c r="I44" i="18"/>
  <c r="D45" i="18"/>
  <c r="E45" i="18"/>
  <c r="F45" i="18"/>
  <c r="G45" i="18"/>
  <c r="H45" i="18"/>
  <c r="I45" i="18"/>
  <c r="D46" i="18"/>
  <c r="E46" i="18"/>
  <c r="F46" i="18"/>
  <c r="G46" i="18"/>
  <c r="H46" i="18"/>
  <c r="I46" i="18"/>
  <c r="D48" i="18"/>
  <c r="E48" i="18"/>
  <c r="F48" i="18"/>
  <c r="G48" i="18"/>
  <c r="H48" i="18"/>
  <c r="I48" i="18"/>
  <c r="D49" i="18"/>
  <c r="E49" i="18"/>
  <c r="F49" i="18"/>
  <c r="G49" i="18"/>
  <c r="H49" i="18"/>
  <c r="I49" i="18"/>
  <c r="D50" i="18"/>
  <c r="E50" i="18"/>
  <c r="F50" i="18"/>
  <c r="G50" i="18"/>
  <c r="H50" i="18"/>
  <c r="I50" i="18"/>
  <c r="D51" i="18"/>
  <c r="E51" i="18"/>
  <c r="F51" i="18"/>
  <c r="G51" i="18"/>
  <c r="H51" i="18"/>
  <c r="I51" i="18"/>
  <c r="D53" i="18"/>
  <c r="E53" i="18"/>
  <c r="F53" i="18"/>
  <c r="G53" i="18"/>
  <c r="H53" i="18"/>
  <c r="I53" i="18"/>
  <c r="D54" i="18"/>
  <c r="E54" i="18"/>
  <c r="F54" i="18"/>
  <c r="G54" i="18"/>
  <c r="H54" i="18"/>
  <c r="I54" i="18"/>
  <c r="D55" i="18"/>
  <c r="E55" i="18"/>
  <c r="F55" i="18"/>
  <c r="G55" i="18"/>
  <c r="H55" i="18"/>
  <c r="I55" i="18"/>
  <c r="D56" i="18"/>
  <c r="E56" i="18"/>
  <c r="F56" i="18"/>
  <c r="G56" i="18"/>
  <c r="H56" i="18"/>
  <c r="I56" i="18"/>
  <c r="D58" i="18"/>
  <c r="E58" i="18"/>
  <c r="F58" i="18"/>
  <c r="G58" i="18"/>
  <c r="H58" i="18"/>
  <c r="I58" i="18"/>
  <c r="D59" i="18"/>
  <c r="E59" i="18"/>
  <c r="F59" i="18"/>
  <c r="G59" i="18"/>
  <c r="H59" i="18"/>
  <c r="I59" i="18"/>
  <c r="D60" i="18"/>
  <c r="E60" i="18"/>
  <c r="F60" i="18"/>
  <c r="G60" i="18"/>
  <c r="H60" i="18"/>
  <c r="I60" i="18"/>
  <c r="D61" i="18"/>
  <c r="E61" i="18"/>
  <c r="F61" i="18"/>
  <c r="G61" i="18"/>
  <c r="H61" i="18"/>
  <c r="I61" i="18"/>
  <c r="E63" i="18"/>
  <c r="F63" i="18"/>
  <c r="G63" i="18"/>
  <c r="H63" i="18"/>
  <c r="I63" i="18"/>
  <c r="D64" i="18"/>
  <c r="E64" i="18"/>
  <c r="F64" i="18"/>
  <c r="G64" i="18"/>
  <c r="H64" i="18"/>
  <c r="I64" i="18"/>
  <c r="D65" i="18"/>
  <c r="E65" i="18"/>
  <c r="F65" i="18"/>
  <c r="G65" i="18"/>
  <c r="H65" i="18"/>
  <c r="I65" i="18"/>
  <c r="D66" i="18"/>
  <c r="E66" i="18"/>
  <c r="F66" i="18"/>
  <c r="G66" i="18"/>
  <c r="H66" i="18"/>
  <c r="I66" i="18"/>
  <c r="C38" i="18"/>
  <c r="C66" i="18"/>
  <c r="C65" i="18"/>
  <c r="C64" i="18"/>
  <c r="C63" i="18"/>
  <c r="C61" i="18"/>
  <c r="C60" i="18"/>
  <c r="C59" i="18"/>
  <c r="C58" i="18"/>
  <c r="C56" i="18"/>
  <c r="C55" i="18"/>
  <c r="C54" i="18"/>
  <c r="C53" i="18"/>
  <c r="C51" i="18"/>
  <c r="C50" i="18"/>
  <c r="C49" i="18"/>
  <c r="C48" i="18"/>
  <c r="C46" i="18"/>
  <c r="C45" i="18"/>
  <c r="C44" i="18"/>
  <c r="C43" i="18"/>
  <c r="C41" i="18"/>
  <c r="C40" i="18"/>
  <c r="C39" i="18"/>
  <c r="C126" i="13" l="1"/>
  <c r="X130" i="13"/>
  <c r="N17" i="13"/>
  <c r="N18" i="13" s="1"/>
  <c r="N19" i="13" s="1"/>
  <c r="N20" i="13" s="1"/>
  <c r="N21" i="13" s="1"/>
  <c r="N22" i="13" s="1"/>
  <c r="N23" i="13" s="1"/>
  <c r="N24" i="13" s="1"/>
  <c r="N25" i="13" s="1"/>
  <c r="F126" i="13"/>
  <c r="D126" i="13"/>
  <c r="L126" i="13"/>
  <c r="J126" i="13"/>
  <c r="H126" i="13"/>
  <c r="K126" i="13"/>
  <c r="G126" i="13"/>
  <c r="B126" i="13"/>
  <c r="N26" i="13" l="1"/>
  <c r="N27" i="13" s="1"/>
  <c r="N28" i="13" s="1"/>
  <c r="N29" i="13" s="1"/>
  <c r="N30" i="13" s="1"/>
  <c r="N31" i="13" s="1"/>
  <c r="N32" i="13" l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N86" i="13" s="1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N98" i="13" s="1"/>
  <c r="N99" i="13" s="1"/>
  <c r="N100" i="13" s="1"/>
  <c r="N101" i="13" s="1"/>
  <c r="N102" i="13" s="1"/>
  <c r="N103" i="13" s="1"/>
  <c r="N104" i="13" s="1"/>
  <c r="N105" i="13" s="1"/>
  <c r="N106" i="13" s="1"/>
  <c r="N107" i="13" s="1"/>
  <c r="N108" i="13" s="1"/>
  <c r="N109" i="13" s="1"/>
  <c r="N110" i="13" s="1"/>
  <c r="N111" i="13" s="1"/>
  <c r="N112" i="13" s="1"/>
  <c r="N113" i="13" s="1"/>
  <c r="N114" i="13" s="1"/>
  <c r="N115" i="13" s="1"/>
  <c r="N116" i="13" s="1"/>
  <c r="N117" i="13" s="1"/>
</calcChain>
</file>

<file path=xl/sharedStrings.xml><?xml version="1.0" encoding="utf-8"?>
<sst xmlns="http://schemas.openxmlformats.org/spreadsheetml/2006/main" count="4946" uniqueCount="1766">
  <si>
    <t xml:space="preserve">What </t>
  </si>
  <si>
    <t>Where</t>
  </si>
  <si>
    <t>When</t>
  </si>
  <si>
    <t>Free Recall</t>
  </si>
  <si>
    <t>Observ</t>
  </si>
  <si>
    <t>Task</t>
  </si>
  <si>
    <t>Recog</t>
  </si>
  <si>
    <t>What object?</t>
  </si>
  <si>
    <t>Where pick up?</t>
  </si>
  <si>
    <t>Where put down?</t>
  </si>
  <si>
    <t>When?</t>
  </si>
  <si>
    <t>Walls</t>
  </si>
  <si>
    <t>Floor</t>
  </si>
  <si>
    <t>Windows</t>
  </si>
  <si>
    <t>What</t>
  </si>
  <si>
    <t>Doors</t>
  </si>
  <si>
    <t>Room Order</t>
  </si>
  <si>
    <t>Time</t>
  </si>
  <si>
    <t>Weather</t>
  </si>
  <si>
    <t>O1N</t>
  </si>
  <si>
    <t>O1L</t>
  </si>
  <si>
    <t>O2N</t>
  </si>
  <si>
    <t>O2L</t>
  </si>
  <si>
    <t>O3N</t>
  </si>
  <si>
    <t>O3L</t>
  </si>
  <si>
    <t>O4N</t>
  </si>
  <si>
    <t>O4L</t>
  </si>
  <si>
    <t>W1N</t>
  </si>
  <si>
    <t>W1L</t>
  </si>
  <si>
    <t>W2N</t>
  </si>
  <si>
    <t>W2L</t>
  </si>
  <si>
    <t>PlaN</t>
  </si>
  <si>
    <t>PlaL</t>
  </si>
  <si>
    <t>Pic1N</t>
  </si>
  <si>
    <t>Pic1L</t>
  </si>
  <si>
    <t>Pic2N</t>
  </si>
  <si>
    <t>Pic2L</t>
  </si>
  <si>
    <t>Ceiling</t>
  </si>
  <si>
    <t>rWall</t>
  </si>
  <si>
    <t>rFloor</t>
  </si>
  <si>
    <t>rLandscape</t>
  </si>
  <si>
    <t>rPortrait</t>
  </si>
  <si>
    <t>rW1</t>
  </si>
  <si>
    <t>rW2</t>
  </si>
  <si>
    <t>rPla</t>
  </si>
  <si>
    <t>Common</t>
  </si>
  <si>
    <t>Congruent</t>
  </si>
  <si>
    <t>Incongruent</t>
  </si>
  <si>
    <t>Bathroom</t>
  </si>
  <si>
    <t>Bedroom</t>
  </si>
  <si>
    <t>Kitchen</t>
  </si>
  <si>
    <t>Livingroom</t>
  </si>
  <si>
    <t>Book</t>
  </si>
  <si>
    <t>Glasses</t>
  </si>
  <si>
    <t>Phone</t>
  </si>
  <si>
    <t>Keys</t>
  </si>
  <si>
    <t>Backpack</t>
  </si>
  <si>
    <t>Laptop</t>
  </si>
  <si>
    <t>TV Remote</t>
  </si>
  <si>
    <t>Magazine</t>
  </si>
  <si>
    <t>Newspaper</t>
  </si>
  <si>
    <t>Letters</t>
  </si>
  <si>
    <t>Toaster</t>
  </si>
  <si>
    <t>Frying pan</t>
  </si>
  <si>
    <t>Pie</t>
  </si>
  <si>
    <t>Lamp</t>
  </si>
  <si>
    <t>Toilet Paper</t>
  </si>
  <si>
    <t>T Brushes</t>
  </si>
  <si>
    <t>Handbag</t>
  </si>
  <si>
    <t>Reading</t>
  </si>
  <si>
    <t>Misplaced</t>
  </si>
  <si>
    <t>Decorative</t>
  </si>
  <si>
    <t>Interactive</t>
  </si>
  <si>
    <t>Inert</t>
  </si>
  <si>
    <t>Hammer</t>
  </si>
  <si>
    <t>Hazardous</t>
  </si>
  <si>
    <t>Knife</t>
  </si>
  <si>
    <t>Motor Oil</t>
  </si>
  <si>
    <t>Drill</t>
  </si>
  <si>
    <t>Ducky</t>
  </si>
  <si>
    <t>Alarm Clock</t>
  </si>
  <si>
    <t>Picture Frame</t>
  </si>
  <si>
    <t>Sleep Mask</t>
  </si>
  <si>
    <t>Theme</t>
  </si>
  <si>
    <t>Type</t>
  </si>
  <si>
    <t>Code</t>
  </si>
  <si>
    <t>i1</t>
  </si>
  <si>
    <t>i2</t>
  </si>
  <si>
    <t>i3</t>
  </si>
  <si>
    <t>i4</t>
  </si>
  <si>
    <t>i5</t>
  </si>
  <si>
    <t>i6</t>
  </si>
  <si>
    <t>w1</t>
  </si>
  <si>
    <t>f1</t>
  </si>
  <si>
    <t>Axe</t>
  </si>
  <si>
    <t>Tyre</t>
  </si>
  <si>
    <t>Banana</t>
  </si>
  <si>
    <t>Petrol Can</t>
  </si>
  <si>
    <t>Hot Dog</t>
  </si>
  <si>
    <t>Ice Cream</t>
  </si>
  <si>
    <t>Rope</t>
  </si>
  <si>
    <t>PU</t>
  </si>
  <si>
    <t>PD</t>
  </si>
  <si>
    <t>Bath</t>
  </si>
  <si>
    <t>Bed</t>
  </si>
  <si>
    <t>Kit</t>
  </si>
  <si>
    <t>Liv</t>
  </si>
  <si>
    <t>C</t>
  </si>
  <si>
    <t>A</t>
  </si>
  <si>
    <t>out</t>
  </si>
  <si>
    <t>in</t>
  </si>
  <si>
    <t>B</t>
  </si>
  <si>
    <t>D</t>
  </si>
  <si>
    <t>i2i</t>
  </si>
  <si>
    <t>o2i</t>
  </si>
  <si>
    <t>Weird</t>
  </si>
  <si>
    <t>ii</t>
  </si>
  <si>
    <t>oi</t>
  </si>
  <si>
    <t>oo</t>
  </si>
  <si>
    <t>io</t>
  </si>
  <si>
    <t>Petrol</t>
  </si>
  <si>
    <t>Cutlery</t>
  </si>
  <si>
    <t>What is the largest furniture/fixture in the room?</t>
  </si>
  <si>
    <t>What is the second largest furniture/fixture in the room?</t>
  </si>
  <si>
    <t>What is the third largest furniture/fixture in the room?</t>
  </si>
  <si>
    <t>What is the fourth largest furniture/fixture in the room?</t>
  </si>
  <si>
    <t>Task A</t>
  </si>
  <si>
    <t>Task B</t>
  </si>
  <si>
    <t>How many doors can you see in the room?</t>
  </si>
  <si>
    <t>How many windows can you see in the room?</t>
  </si>
  <si>
    <t>How many lights can you see on the ceiling?</t>
  </si>
  <si>
    <t>Task C</t>
  </si>
  <si>
    <t>Describe the walls</t>
  </si>
  <si>
    <t>Describe the floor</t>
  </si>
  <si>
    <t>Describe the pictures</t>
  </si>
  <si>
    <t>Identifying</t>
  </si>
  <si>
    <t>Counting</t>
  </si>
  <si>
    <t>Describing</t>
  </si>
  <si>
    <t>Task D</t>
  </si>
  <si>
    <t>What food objects can you see in the room?</t>
  </si>
  <si>
    <t>What objects do not belong in the room?</t>
  </si>
  <si>
    <t>Task E</t>
  </si>
  <si>
    <t>What is the time of day?</t>
  </si>
  <si>
    <t>What is the weather like outside?</t>
  </si>
  <si>
    <t>Temporal</t>
  </si>
  <si>
    <t>Section 1</t>
  </si>
  <si>
    <t>Sleep</t>
  </si>
  <si>
    <t>Section 2</t>
  </si>
  <si>
    <t>Task B + C</t>
  </si>
  <si>
    <t>Section 3</t>
  </si>
  <si>
    <t>Items 1-6</t>
  </si>
  <si>
    <t>Section 4</t>
  </si>
  <si>
    <t>Section</t>
  </si>
  <si>
    <t>Conf ID</t>
  </si>
  <si>
    <t>Question</t>
  </si>
  <si>
    <t>How many hours did you sleep last night?</t>
  </si>
  <si>
    <t>Page</t>
  </si>
  <si>
    <t>Q No</t>
  </si>
  <si>
    <t>What time did you wake up today?</t>
  </si>
  <si>
    <t>What was the quality of your sleep last night?</t>
  </si>
  <si>
    <t>How tired do you feel right now?</t>
  </si>
  <si>
    <t>Have you had any caffeine or stimulants in the last 6 hours?</t>
  </si>
  <si>
    <t>What kind of stimulant and how many servings?</t>
  </si>
  <si>
    <t>Is anyone helping you complete this questionnaire?</t>
  </si>
  <si>
    <t>What is your relationship to this person?</t>
  </si>
  <si>
    <t>During your VR session you saw four rooms. Which one was the [user_meta key="c_room"]?</t>
  </si>
  <si>
    <t>Approximately what time of day was it in the [user_meta key="c_room"]? *</t>
  </si>
  <si>
    <t>What was the weather like outside the [user_meta key="c_room"]? *</t>
  </si>
  <si>
    <t>Name the largest fixture/furniture in the [user_meta key="c_room"]. </t>
  </si>
  <si>
    <t>Which area of the room was this object? </t>
  </si>
  <si>
    <t>Name the second largest fixture/furniture in the [user_meta key="c_room"]. </t>
  </si>
  <si>
    <t>Name the third largest fixture/furniture in the [user_meta key="c_room"]. </t>
  </si>
  <si>
    <t>Name the fourth largest fixture/furniture in the [user_meta key="c_room"]. </t>
  </si>
  <si>
    <t>Name the food item that you found in the [user_meta key="c_room"].</t>
  </si>
  <si>
    <t>Which area of the room was this object?</t>
  </si>
  <si>
    <t>Name the large strange object that didn't belong in the [user_meta key="c_room"].</t>
  </si>
  <si>
    <t>Briefly describe the plant that was in the [user_meta key="c_room"].</t>
  </si>
  <si>
    <t>Quest ID</t>
  </si>
  <si>
    <t>Which sections of wall had a window?</t>
  </si>
  <si>
    <t>Which sections of wall had a door?</t>
  </si>
  <si>
    <t>Describe one of the pictures on the [user_meta key="c_room"]'s wall.</t>
  </si>
  <si>
    <t>Which section of the wall had this picture?</t>
  </si>
  <si>
    <t>Describe the other picture on the [user_meta key="c_room"]'s wall.</t>
  </si>
  <si>
    <t>What colour/texture was the [user_meta key="c_room"]'s walls?</t>
  </si>
  <si>
    <t>What colour/texture was the [user_meta key="c_room"]'s floor?</t>
  </si>
  <si>
    <t>Identifying the four largest furniture/fixtures in the room.</t>
  </si>
  <si>
    <t>Counting the doors, windows, and lights</t>
  </si>
  <si>
    <t>Describing the walls, floor, and pictures</t>
  </si>
  <si>
    <t>Searching for food items and strange objects</t>
  </si>
  <si>
    <t>Estimating the time of day and the weather outside</t>
  </si>
  <si>
    <t>I picked this item up</t>
  </si>
  <si>
    <t>I picked this item up from</t>
  </si>
  <si>
    <t>Name of item</t>
  </si>
  <si>
    <t>I put this item down</t>
  </si>
  <si>
    <t>Which pattern do you remember being on the [user_meta key="c_room"]'s walls?</t>
  </si>
  <si>
    <t>Which material do you remember being on the [user_meta key="c_room"]'s floor?</t>
  </si>
  <si>
    <t>Which landscape did you see on the [user_meta key="c_room"]'s wall?</t>
  </si>
  <si>
    <t>Which portrait did you see on the [user_meta key="c_room"]'s wall?</t>
  </si>
  <si>
    <t>Which unusual object did you see in the [user_meta key="c_room"]?</t>
  </si>
  <si>
    <t>Which food item did you see in the [user_meta key="c_room"] that you did NOT interact with?</t>
  </si>
  <si>
    <t>Which plant did you see in the [user_meta key="c_room"]?</t>
  </si>
  <si>
    <t>Section 5</t>
  </si>
  <si>
    <t>Bath - Recognise Item</t>
  </si>
  <si>
    <t>Bed - Recognise Item</t>
  </si>
  <si>
    <t>Bit - Recognise Item</t>
  </si>
  <si>
    <t>Liv - Recognise Item</t>
  </si>
  <si>
    <t>Section 6</t>
  </si>
  <si>
    <t>Which furniture/fixture was in the [user_meta key="c_room"]?</t>
  </si>
  <si>
    <t>Where was this located?</t>
  </si>
  <si>
    <t>Test 1</t>
  </si>
  <si>
    <t>bath1</t>
  </si>
  <si>
    <t>bath0</t>
  </si>
  <si>
    <t>bed1</t>
  </si>
  <si>
    <t>bed2</t>
  </si>
  <si>
    <t>kit1</t>
  </si>
  <si>
    <t>kit2</t>
  </si>
  <si>
    <t>liv1</t>
  </si>
  <si>
    <t>liv2</t>
  </si>
  <si>
    <t>bath2</t>
  </si>
  <si>
    <t>bath3</t>
  </si>
  <si>
    <t>bath4</t>
  </si>
  <si>
    <t>bath5</t>
  </si>
  <si>
    <t>bath6</t>
  </si>
  <si>
    <t>bath7</t>
  </si>
  <si>
    <t>bed0</t>
  </si>
  <si>
    <t>bed3</t>
  </si>
  <si>
    <t>bed4</t>
  </si>
  <si>
    <t>bed5</t>
  </si>
  <si>
    <t>bed6</t>
  </si>
  <si>
    <t>bed7</t>
  </si>
  <si>
    <t>kit3</t>
  </si>
  <si>
    <t>kit4</t>
  </si>
  <si>
    <t>liv3</t>
  </si>
  <si>
    <t>liv4</t>
  </si>
  <si>
    <t>kit0</t>
  </si>
  <si>
    <t>kit5</t>
  </si>
  <si>
    <t>kit6</t>
  </si>
  <si>
    <t>kit7</t>
  </si>
  <si>
    <t>liv5</t>
  </si>
  <si>
    <t>liv6</t>
  </si>
  <si>
    <t>liv0</t>
  </si>
  <si>
    <t>liv7</t>
  </si>
  <si>
    <t>Foil</t>
  </si>
  <si>
    <t>Cued Recall</t>
  </si>
  <si>
    <t>Recognition</t>
  </si>
  <si>
    <t>Tasks</t>
  </si>
  <si>
    <t>Novel</t>
  </si>
  <si>
    <t>Textbook</t>
  </si>
  <si>
    <t>Encyclopedia</t>
  </si>
  <si>
    <t>Autobiography</t>
  </si>
  <si>
    <t>Dictionary</t>
  </si>
  <si>
    <t>Guidebook</t>
  </si>
  <si>
    <t>Manuscript</t>
  </si>
  <si>
    <t>Sunglasses</t>
  </si>
  <si>
    <t>Reading Glasses</t>
  </si>
  <si>
    <t>Toy Boat</t>
  </si>
  <si>
    <t>Bath Sponge</t>
  </si>
  <si>
    <t>Rubber Frog</t>
  </si>
  <si>
    <t>Toothpaste</t>
  </si>
  <si>
    <t>Dental Floss</t>
  </si>
  <si>
    <t>Mouthwash</t>
  </si>
  <si>
    <t>Tongue Scraper</t>
  </si>
  <si>
    <t>Interdental Brush</t>
  </si>
  <si>
    <t>Screwdriver</t>
  </si>
  <si>
    <t>Wrench</t>
  </si>
  <si>
    <t>Pliers</t>
  </si>
  <si>
    <t>Crowbar</t>
  </si>
  <si>
    <t>Mallet</t>
  </si>
  <si>
    <t>Chisel</t>
  </si>
  <si>
    <t>Game Controller</t>
  </si>
  <si>
    <t>Smart Speaker</t>
  </si>
  <si>
    <t>Universal Remote</t>
  </si>
  <si>
    <t>Comic Book</t>
  </si>
  <si>
    <t>Brochure</t>
  </si>
  <si>
    <t>Catalog</t>
  </si>
  <si>
    <t>Newsletter</t>
  </si>
  <si>
    <t>Journal</t>
  </si>
  <si>
    <t>Almanac</t>
  </si>
  <si>
    <t>Tablet</t>
  </si>
  <si>
    <t>Smartwatch</t>
  </si>
  <si>
    <t>E-reader</t>
  </si>
  <si>
    <t>Portable Game Console</t>
  </si>
  <si>
    <t>GPS Device</t>
  </si>
  <si>
    <t>Canvas Print</t>
  </si>
  <si>
    <t>Wall Art</t>
  </si>
  <si>
    <t>Collage Frame</t>
  </si>
  <si>
    <t>Shadow Box</t>
  </si>
  <si>
    <t>Digital Photo Frame</t>
  </si>
  <si>
    <t>Timer</t>
  </si>
  <si>
    <t>Stopwatch</t>
  </si>
  <si>
    <t>Wall Clock</t>
  </si>
  <si>
    <t>Desk Clock</t>
  </si>
  <si>
    <t>Spoon</t>
  </si>
  <si>
    <t>Spatula</t>
  </si>
  <si>
    <t>Whisk</t>
  </si>
  <si>
    <t>Tongs</t>
  </si>
  <si>
    <t>Saucepan</t>
  </si>
  <si>
    <t>Wok</t>
  </si>
  <si>
    <t>Griddle</t>
  </si>
  <si>
    <t>Dutch Oven</t>
  </si>
  <si>
    <t>Stockpot</t>
  </si>
  <si>
    <t>Casserole Dish</t>
  </si>
  <si>
    <t>Postcards</t>
  </si>
  <si>
    <t>Greeting Cards</t>
  </si>
  <si>
    <t>Envelopes</t>
  </si>
  <si>
    <t>Keychain</t>
  </si>
  <si>
    <t>Glass</t>
  </si>
  <si>
    <t>Napkin</t>
  </si>
  <si>
    <t>Tablecloth</t>
  </si>
  <si>
    <t>Microwave</t>
  </si>
  <si>
    <t>Blender</t>
  </si>
  <si>
    <t>Coffee Maker</t>
  </si>
  <si>
    <t>Food Processor</t>
  </si>
  <si>
    <t>Rice Cooker</t>
  </si>
  <si>
    <t>Slow Cooker</t>
  </si>
  <si>
    <t>Electric Kettle</t>
  </si>
  <si>
    <t>Antifreeze</t>
  </si>
  <si>
    <t>Paper Towels</t>
  </si>
  <si>
    <t>Napkins</t>
  </si>
  <si>
    <t>Facial Tissues</t>
  </si>
  <si>
    <t>F</t>
  </si>
  <si>
    <t>F+C</t>
  </si>
  <si>
    <t>Room FR/C</t>
  </si>
  <si>
    <t>Items Text Input and no imagery</t>
  </si>
  <si>
    <t>Room cued recall</t>
  </si>
  <si>
    <t>Items 2</t>
  </si>
  <si>
    <t>Room Recog</t>
  </si>
  <si>
    <t>Items 3</t>
  </si>
  <si>
    <t>Tasks with Item Answers Cue</t>
  </si>
  <si>
    <t>Room FR</t>
  </si>
  <si>
    <t>Item FR</t>
  </si>
  <si>
    <t>Room CR</t>
  </si>
  <si>
    <t>Item CR</t>
  </si>
  <si>
    <t>Item Recog</t>
  </si>
  <si>
    <t>Tasks with recog</t>
  </si>
  <si>
    <t>Room</t>
  </si>
  <si>
    <t>Items</t>
  </si>
  <si>
    <t>Section 7</t>
  </si>
  <si>
    <t>Similar 1</t>
  </si>
  <si>
    <t>Similar 2</t>
  </si>
  <si>
    <t>Similar 3</t>
  </si>
  <si>
    <t>Similar 4</t>
  </si>
  <si>
    <t>Similar 5</t>
  </si>
  <si>
    <t>Similar 6</t>
  </si>
  <si>
    <t>Similar 7</t>
  </si>
  <si>
    <t>Poetry Book</t>
  </si>
  <si>
    <t>Biography</t>
  </si>
  <si>
    <t>Graphic Novel</t>
  </si>
  <si>
    <t>Rubber Ducky</t>
  </si>
  <si>
    <t>Squeaky Toy</t>
  </si>
  <si>
    <t>Cellphone</t>
  </si>
  <si>
    <t>Digital Alarm Clock</t>
  </si>
  <si>
    <t>Analog Alarm Clock</t>
  </si>
  <si>
    <t>Chef's Knife</t>
  </si>
  <si>
    <t>Utility Knife</t>
  </si>
  <si>
    <t>Paring Knife</t>
  </si>
  <si>
    <t>Bread Knife</t>
  </si>
  <si>
    <t>Fillet Knife</t>
  </si>
  <si>
    <t>Santoku Knife</t>
  </si>
  <si>
    <t>Cleaver</t>
  </si>
  <si>
    <t>Skillet</t>
  </si>
  <si>
    <t>Car Keys</t>
  </si>
  <si>
    <t>House Keys</t>
  </si>
  <si>
    <t>Similar 8</t>
  </si>
  <si>
    <t>Similar 9</t>
  </si>
  <si>
    <t>Poetry book</t>
  </si>
  <si>
    <t>Comic book</t>
  </si>
  <si>
    <t>Scientific journal</t>
  </si>
  <si>
    <t>Graphic novel</t>
  </si>
  <si>
    <t>Short story collection</t>
  </si>
  <si>
    <t>Cookbook</t>
  </si>
  <si>
    <t>Atlas</t>
  </si>
  <si>
    <t>E-book</t>
  </si>
  <si>
    <t>Eyewear</t>
  </si>
  <si>
    <t>Reading glasses</t>
  </si>
  <si>
    <t>Safety goggles</t>
  </si>
  <si>
    <t>Swim goggles</t>
  </si>
  <si>
    <t>3D glasses</t>
  </si>
  <si>
    <t>VR headset</t>
  </si>
  <si>
    <t>Monocle</t>
  </si>
  <si>
    <t>Prescription goggles</t>
  </si>
  <si>
    <t>Magnifying glass</t>
  </si>
  <si>
    <t>Ski goggles</t>
  </si>
  <si>
    <t>Sports glasses</t>
  </si>
  <si>
    <t>Opera glasses</t>
  </si>
  <si>
    <t>Polarized lenses</t>
  </si>
  <si>
    <t>Aviator glasses</t>
  </si>
  <si>
    <t>Bath toys</t>
  </si>
  <si>
    <t>Bath crayons</t>
  </si>
  <si>
    <t>Toy boats</t>
  </si>
  <si>
    <t>Bath puppet</t>
  </si>
  <si>
    <t>Toy submarine</t>
  </si>
  <si>
    <t>Foam letters</t>
  </si>
  <si>
    <t>Squirting fish</t>
  </si>
  <si>
    <t>Floating frog</t>
  </si>
  <si>
    <t>Wind-up swimmer</t>
  </si>
  <si>
    <t>Bath stickers</t>
  </si>
  <si>
    <t>Bath time tea set</t>
  </si>
  <si>
    <t>Bubble machine</t>
  </si>
  <si>
    <t>Toy fishing set</t>
  </si>
  <si>
    <t>Bath book</t>
  </si>
  <si>
    <t>Bath time waterfall</t>
  </si>
  <si>
    <t>Toothbrushes in a cup</t>
  </si>
  <si>
    <t>Dental hygiene</t>
  </si>
  <si>
    <t>Dental floss</t>
  </si>
  <si>
    <t>Tongue scraper</t>
  </si>
  <si>
    <t>Interdental brush</t>
  </si>
  <si>
    <t>Denture cleaner</t>
  </si>
  <si>
    <t>Electric toothbrush</t>
  </si>
  <si>
    <t>Dental picks</t>
  </si>
  <si>
    <t>Water flosser</t>
  </si>
  <si>
    <t>Orthodontic wax</t>
  </si>
  <si>
    <t>Whitening strips</t>
  </si>
  <si>
    <t>Tooth powder</t>
  </si>
  <si>
    <t>Toothbrush cover</t>
  </si>
  <si>
    <t>Gum stimulator</t>
  </si>
  <si>
    <t>Hand tools</t>
  </si>
  <si>
    <t>Tape measure</t>
  </si>
  <si>
    <t>Level</t>
  </si>
  <si>
    <t>Utility knife</t>
  </si>
  <si>
    <t>Ratchet</t>
  </si>
  <si>
    <t>Pipe wrench</t>
  </si>
  <si>
    <t>Wire stripper</t>
  </si>
  <si>
    <t>Hacksaw</t>
  </si>
  <si>
    <t>Wood rasp</t>
  </si>
  <si>
    <t>Allen wrench</t>
  </si>
  <si>
    <t>Trowel</t>
  </si>
  <si>
    <t>Remotes</t>
  </si>
  <si>
    <t>Game controller</t>
  </si>
  <si>
    <t>Air conditioner remote</t>
  </si>
  <si>
    <t>Garage door opener</t>
  </si>
  <si>
    <t>Car key fob</t>
  </si>
  <si>
    <t>Projector remote</t>
  </si>
  <si>
    <t>Ceiling fan remote</t>
  </si>
  <si>
    <t>Camera remote</t>
  </si>
  <si>
    <t>Sound system remote</t>
  </si>
  <si>
    <t>Light switch remote</t>
  </si>
  <si>
    <t>DVD player remote</t>
  </si>
  <si>
    <t>Drone controller</t>
  </si>
  <si>
    <t>Stereo remote</t>
  </si>
  <si>
    <t>Presentation clicker</t>
  </si>
  <si>
    <t>Cable box remote</t>
  </si>
  <si>
    <t>Electronics</t>
  </si>
  <si>
    <t>Desktop computer</t>
  </si>
  <si>
    <t>Digital camera</t>
  </si>
  <si>
    <t>Headphones</t>
  </si>
  <si>
    <t>Router</t>
  </si>
  <si>
    <t>External hard drive</t>
  </si>
  <si>
    <t>Video game console</t>
  </si>
  <si>
    <t>Printer</t>
  </si>
  <si>
    <t>Smartphone charger</t>
  </si>
  <si>
    <t>Bluetooth speaker</t>
  </si>
  <si>
    <t>Portable charger</t>
  </si>
  <si>
    <t>Home decor</t>
  </si>
  <si>
    <t>Wall clock</t>
  </si>
  <si>
    <t>Wall art</t>
  </si>
  <si>
    <t>Throw pillow</t>
  </si>
  <si>
    <t>Area rug</t>
  </si>
  <si>
    <t>Vase</t>
  </si>
  <si>
    <t>Candle holder</t>
  </si>
  <si>
    <t>Decorative tray</t>
  </si>
  <si>
    <t>Figurine</t>
  </si>
  <si>
    <t>Houseplant</t>
  </si>
  <si>
    <t>Wall mirror</t>
  </si>
  <si>
    <t>Ornamental bowl</t>
  </si>
  <si>
    <t>Table runner</t>
  </si>
  <si>
    <t>Wind chime</t>
  </si>
  <si>
    <t>Sculpture</t>
  </si>
  <si>
    <t>Timekeeping</t>
  </si>
  <si>
    <t>Hourglass</t>
  </si>
  <si>
    <t>Sundial</t>
  </si>
  <si>
    <t>Wristwatch</t>
  </si>
  <si>
    <t>Cuckoo clock</t>
  </si>
  <si>
    <t>Grandfather clock</t>
  </si>
  <si>
    <t>Pocket watch</t>
  </si>
  <si>
    <t>World time clock</t>
  </si>
  <si>
    <t>Atomic clock</t>
  </si>
  <si>
    <t>Kitchen timer</t>
  </si>
  <si>
    <t>Mantel clock</t>
  </si>
  <si>
    <t>Kitchen utensils</t>
  </si>
  <si>
    <t>Can opener</t>
  </si>
  <si>
    <t>Mixing bowl</t>
  </si>
  <si>
    <t>Cheese grater</t>
  </si>
  <si>
    <t>Measuring spoons</t>
  </si>
  <si>
    <t>Cutting board</t>
  </si>
  <si>
    <t>Garlic press</t>
  </si>
  <si>
    <t>Rolling pin</t>
  </si>
  <si>
    <t>Colander</t>
  </si>
  <si>
    <t>Potato masher</t>
  </si>
  <si>
    <t>Zester</t>
  </si>
  <si>
    <t>Cookware</t>
  </si>
  <si>
    <t>Grill pan</t>
  </si>
  <si>
    <t>Dutch oven</t>
  </si>
  <si>
    <t>Baking sheet</t>
  </si>
  <si>
    <t>Casserole dish</t>
  </si>
  <si>
    <t>Roasting pan</t>
  </si>
  <si>
    <t>Crepe pan</t>
  </si>
  <si>
    <t>Double boiler</t>
  </si>
  <si>
    <t>Muffin tin</t>
  </si>
  <si>
    <t>Pie dish</t>
  </si>
  <si>
    <t>Saute pan</t>
  </si>
  <si>
    <t>Mail</t>
  </si>
  <si>
    <t>Greeting cards</t>
  </si>
  <si>
    <t>Packages</t>
  </si>
  <si>
    <t>Certified mail</t>
  </si>
  <si>
    <t>Priority mail</t>
  </si>
  <si>
    <t>Postage stamps</t>
  </si>
  <si>
    <t>Parcel</t>
  </si>
  <si>
    <t>Express mail</t>
  </si>
  <si>
    <t>Mailer</t>
  </si>
  <si>
    <t>Return receipt</t>
  </si>
  <si>
    <t>Shipping label</t>
  </si>
  <si>
    <t>Padded envelope</t>
  </si>
  <si>
    <t>Registered mail</t>
  </si>
  <si>
    <t>House keys</t>
  </si>
  <si>
    <t>Office keys</t>
  </si>
  <si>
    <t>Padlock keys</t>
  </si>
  <si>
    <t>Bike lock keys</t>
  </si>
  <si>
    <t>Luggage keys</t>
  </si>
  <si>
    <t>Safe keys</t>
  </si>
  <si>
    <t>File cabinet keys</t>
  </si>
  <si>
    <t>Mailbox keys</t>
  </si>
  <si>
    <t>Locker keys</t>
  </si>
  <si>
    <t>Key fob</t>
  </si>
  <si>
    <t>Key card</t>
  </si>
  <si>
    <t>Skeleton key</t>
  </si>
  <si>
    <t>RFID key</t>
  </si>
  <si>
    <t>Plate with Knife and Fork</t>
  </si>
  <si>
    <t>Tableware</t>
  </si>
  <si>
    <t>Teaspoon</t>
  </si>
  <si>
    <t>Mug</t>
  </si>
  <si>
    <t>Bowl</t>
  </si>
  <si>
    <t>Saucer</t>
  </si>
  <si>
    <t>Chopsticks</t>
  </si>
  <si>
    <t>Salad plate</t>
  </si>
  <si>
    <t>Dinner plate</t>
  </si>
  <si>
    <t>Appetizer plate</t>
  </si>
  <si>
    <t>Dessert spoon</t>
  </si>
  <si>
    <t>Steak knife</t>
  </si>
  <si>
    <t>Small appliances</t>
  </si>
  <si>
    <t>Coffee maker</t>
  </si>
  <si>
    <t>Slow cooker</t>
  </si>
  <si>
    <t>Electric kettle</t>
  </si>
  <si>
    <t>Stand mixer</t>
  </si>
  <si>
    <t>Rice cooker</t>
  </si>
  <si>
    <t>Hand mixer</t>
  </si>
  <si>
    <t>Food processor</t>
  </si>
  <si>
    <t>Waffle maker</t>
  </si>
  <si>
    <t>Air fryer</t>
  </si>
  <si>
    <t>Juicer</t>
  </si>
  <si>
    <t>Instant Pot</t>
  </si>
  <si>
    <t>Sandwich maker</t>
  </si>
  <si>
    <t>Automotive fluids</t>
  </si>
  <si>
    <t>Brake fluid</t>
  </si>
  <si>
    <t>Transmission fluid</t>
  </si>
  <si>
    <t>Power steering fluid</t>
  </si>
  <si>
    <t>Windshield washer fluid</t>
  </si>
  <si>
    <t>Gasoline</t>
  </si>
  <si>
    <t>Diesel</t>
  </si>
  <si>
    <t>Lubricant</t>
  </si>
  <si>
    <t>Engine coolant</t>
  </si>
  <si>
    <t>Hydraulic fluid</t>
  </si>
  <si>
    <t>Gear oil</t>
  </si>
  <si>
    <t>Differential fluid</t>
  </si>
  <si>
    <t>Additives</t>
  </si>
  <si>
    <t>Fuel injector cleaner</t>
  </si>
  <si>
    <t>Hygiene products</t>
  </si>
  <si>
    <t>Tissues</t>
  </si>
  <si>
    <t>Paper towels</t>
  </si>
  <si>
    <t>Wet wipes</t>
  </si>
  <si>
    <t>Hand sanitizer</t>
  </si>
  <si>
    <t>Soap</t>
  </si>
  <si>
    <t>Shampoo</t>
  </si>
  <si>
    <t>Conditioner</t>
  </si>
  <si>
    <t>Deodorant</t>
  </si>
  <si>
    <t>Body wash</t>
  </si>
  <si>
    <t>Moisturizer</t>
  </si>
  <si>
    <t>Cotton swabs</t>
  </si>
  <si>
    <t>Cotton balls</t>
  </si>
  <si>
    <t>Nail clippers</t>
  </si>
  <si>
    <t>Print media</t>
  </si>
  <si>
    <t>Flyer</t>
  </si>
  <si>
    <t>Phone book</t>
  </si>
  <si>
    <t>Travel guide</t>
  </si>
  <si>
    <t>Map</t>
  </si>
  <si>
    <t>Coupon book</t>
  </si>
  <si>
    <t>User manual</t>
  </si>
  <si>
    <t>Art print</t>
  </si>
  <si>
    <t>Academic journal</t>
  </si>
  <si>
    <t>Poster</t>
  </si>
  <si>
    <t>Sheet music</t>
  </si>
  <si>
    <t>Bags</t>
  </si>
  <si>
    <t>Tote bag</t>
  </si>
  <si>
    <t>Briefcase</t>
  </si>
  <si>
    <t>Messenger bag</t>
  </si>
  <si>
    <t>Duffel bag</t>
  </si>
  <si>
    <t>Clutch</t>
  </si>
  <si>
    <t>Wallet</t>
  </si>
  <si>
    <t>Satchel</t>
  </si>
  <si>
    <t>Fanny pack</t>
  </si>
  <si>
    <t>Gym bag</t>
  </si>
  <si>
    <t>Diaper bag</t>
  </si>
  <si>
    <t>Shoulder bag</t>
  </si>
  <si>
    <t>Crossbody bag</t>
  </si>
  <si>
    <t>Travel bag</t>
  </si>
  <si>
    <t>Lighting</t>
  </si>
  <si>
    <t>Floor lamp</t>
  </si>
  <si>
    <t>Table lamp</t>
  </si>
  <si>
    <t>Chandelier</t>
  </si>
  <si>
    <t>Pendant light</t>
  </si>
  <si>
    <t>Wall sconce</t>
  </si>
  <si>
    <t>Desk lamp</t>
  </si>
  <si>
    <t>Track lighting</t>
  </si>
  <si>
    <t>Outdoor light</t>
  </si>
  <si>
    <t>Ceiling fan with light</t>
  </si>
  <si>
    <t>Recessed lighting</t>
  </si>
  <si>
    <t>String lights</t>
  </si>
  <si>
    <t>Lantern</t>
  </si>
  <si>
    <t>Night light</t>
  </si>
  <si>
    <t>Solar light</t>
  </si>
  <si>
    <t>Computers</t>
  </si>
  <si>
    <t>Desktop</t>
  </si>
  <si>
    <t>Chromebook</t>
  </si>
  <si>
    <t>Ultrabook</t>
  </si>
  <si>
    <t>All-in-one computer</t>
  </si>
  <si>
    <t>Gaming PC</t>
  </si>
  <si>
    <t>Workstation</t>
  </si>
  <si>
    <t>Netbook</t>
  </si>
  <si>
    <t>Mini PC</t>
  </si>
  <si>
    <t>Server</t>
  </si>
  <si>
    <t>Convertible laptop</t>
  </si>
  <si>
    <t>Macintosh</t>
  </si>
  <si>
    <t>Raspberry Pi</t>
  </si>
  <si>
    <t>Mainframe</t>
  </si>
  <si>
    <t>Battery Drill</t>
  </si>
  <si>
    <t>Power tools</t>
  </si>
  <si>
    <t>Jigsaw</t>
  </si>
  <si>
    <t>Circular saw</t>
  </si>
  <si>
    <t>Reciprocating saw</t>
  </si>
  <si>
    <t>Angle grinder</t>
  </si>
  <si>
    <t>Belt sander</t>
  </si>
  <si>
    <t>Impact driver</t>
  </si>
  <si>
    <t>Rotary tool</t>
  </si>
  <si>
    <t>Bench grinder</t>
  </si>
  <si>
    <t>Orbital sander</t>
  </si>
  <si>
    <t>Nail gun</t>
  </si>
  <si>
    <t>Heat gun</t>
  </si>
  <si>
    <t>Miter saw</t>
  </si>
  <si>
    <t>Planer</t>
  </si>
  <si>
    <t>Sleep accessories</t>
  </si>
  <si>
    <t>Earplugs</t>
  </si>
  <si>
    <t>White noise machine</t>
  </si>
  <si>
    <t>Humidifier</t>
  </si>
  <si>
    <t>Aromatherapy diffuser</t>
  </si>
  <si>
    <t>Weighted blanket</t>
  </si>
  <si>
    <t>Pillow</t>
  </si>
  <si>
    <t>Mattress pad</t>
  </si>
  <si>
    <t>Body pillow</t>
  </si>
  <si>
    <t>Sound machine</t>
  </si>
  <si>
    <t>Sleep tracker</t>
  </si>
  <si>
    <t>Sleepwear</t>
  </si>
  <si>
    <t>Neck pillow</t>
  </si>
  <si>
    <t>CPAP machine</t>
  </si>
  <si>
    <t>Eye pillow</t>
  </si>
  <si>
    <t>Periodicals</t>
  </si>
  <si>
    <t>Annual report</t>
  </si>
  <si>
    <t>Literary magazine</t>
  </si>
  <si>
    <t>Trade publication</t>
  </si>
  <si>
    <t>Zine</t>
  </si>
  <si>
    <t>Digest</t>
  </si>
  <si>
    <t>Yearbook</t>
  </si>
  <si>
    <t>Gazette</t>
  </si>
  <si>
    <t>Superordinate Category</t>
  </si>
  <si>
    <t>ITEM</t>
  </si>
  <si>
    <t>Similar 10</t>
  </si>
  <si>
    <t>Similar 11</t>
  </si>
  <si>
    <t>Similar 12</t>
  </si>
  <si>
    <t>Similar 13</t>
  </si>
  <si>
    <t>Similar 14</t>
  </si>
  <si>
    <t>Prescription Glasses</t>
  </si>
  <si>
    <t>Bedside Lamp</t>
  </si>
  <si>
    <t>Tissue Box</t>
  </si>
  <si>
    <t>Teacup and Saucer</t>
  </si>
  <si>
    <t>Floating toy frog</t>
  </si>
  <si>
    <t>Desktop Computer</t>
  </si>
  <si>
    <t>AC Remote</t>
  </si>
  <si>
    <t>Invitations</t>
  </si>
  <si>
    <t>Tapestry</t>
  </si>
  <si>
    <t>Safety Goggles</t>
  </si>
  <si>
    <t>Swimming Goggles</t>
  </si>
  <si>
    <t>3D Glasses</t>
  </si>
  <si>
    <t>Magnifying Glass</t>
  </si>
  <si>
    <t>Rubber Fish</t>
  </si>
  <si>
    <t>Loofah</t>
  </si>
  <si>
    <t>Rubber Octopus</t>
  </si>
  <si>
    <t>Plastic Dolphin</t>
  </si>
  <si>
    <t>Rubber Turtle</t>
  </si>
  <si>
    <t>Hairbrushes in a cup</t>
  </si>
  <si>
    <t>Spoons in a cup</t>
  </si>
  <si>
    <t>Forks in a cup</t>
  </si>
  <si>
    <t>Chopsticks in a cup</t>
  </si>
  <si>
    <t>Pencils in a cup</t>
  </si>
  <si>
    <t>Paintbrushes in a cup</t>
  </si>
  <si>
    <t>Pens in a cup</t>
  </si>
  <si>
    <t>Hand Saw</t>
  </si>
  <si>
    <t>Sound System Remote</t>
  </si>
  <si>
    <t>Projector Remote</t>
  </si>
  <si>
    <t>DVD Player Remote</t>
  </si>
  <si>
    <t>Streaming Device Remote</t>
  </si>
  <si>
    <t>Pamphlet</t>
  </si>
  <si>
    <t>Travel Guide</t>
  </si>
  <si>
    <t>Coloring Book</t>
  </si>
  <si>
    <t>E-Reader</t>
  </si>
  <si>
    <t>Walkie-Talkie</t>
  </si>
  <si>
    <t>MP3 Player</t>
  </si>
  <si>
    <t>Digital Camera</t>
  </si>
  <si>
    <t>Mirror</t>
  </si>
  <si>
    <t>Canvas</t>
  </si>
  <si>
    <t>Bulletin Board</t>
  </si>
  <si>
    <t>Whiteboard</t>
  </si>
  <si>
    <t>Chalkboard</t>
  </si>
  <si>
    <t>Corkboard</t>
  </si>
  <si>
    <t>Kitchen Timer</t>
  </si>
  <si>
    <t>Carving Knife</t>
  </si>
  <si>
    <t>Boning Knife</t>
  </si>
  <si>
    <t>Memos</t>
  </si>
  <si>
    <t>Flyers</t>
  </si>
  <si>
    <t>Bills</t>
  </si>
  <si>
    <t>Bicycle Lock Key</t>
  </si>
  <si>
    <t>Padlock Key</t>
  </si>
  <si>
    <t>Office Key</t>
  </si>
  <si>
    <t>Luggage Key</t>
  </si>
  <si>
    <t>Drawer Key</t>
  </si>
  <si>
    <t>Storage Unit Key</t>
  </si>
  <si>
    <t>Plate with Knife/Fork</t>
  </si>
  <si>
    <t>Bowl with Spoon</t>
  </si>
  <si>
    <t>Tray with Tongs</t>
  </si>
  <si>
    <t>Saucer with Teaspoon</t>
  </si>
  <si>
    <t>Platter with Chopsticks</t>
  </si>
  <si>
    <t>Cake Stand with Server</t>
  </si>
  <si>
    <t>Dish with Spatula</t>
  </si>
  <si>
    <t>Coaster with Stirrer</t>
  </si>
  <si>
    <t>Stand Mixer</t>
  </si>
  <si>
    <t>Olive Oil</t>
  </si>
  <si>
    <t>Vinegar</t>
  </si>
  <si>
    <t>Dish Soap</t>
  </si>
  <si>
    <t>Laundry Detergent</t>
  </si>
  <si>
    <t>Bleach</t>
  </si>
  <si>
    <t>Cooking Spray</t>
  </si>
  <si>
    <t>All-Purpose Cleaner</t>
  </si>
  <si>
    <t>Tabloid</t>
  </si>
  <si>
    <t>Crossword Puzzle</t>
  </si>
  <si>
    <t>Sudoku Book</t>
  </si>
  <si>
    <t>Word Search Book</t>
  </si>
  <si>
    <t>Tote Bag</t>
  </si>
  <si>
    <t>Messenger Bag</t>
  </si>
  <si>
    <t>Crossbody Bag</t>
  </si>
  <si>
    <t>Duffel Bag</t>
  </si>
  <si>
    <t>Floor Lamp</t>
  </si>
  <si>
    <t>Desk Lamp</t>
  </si>
  <si>
    <t>Pendant Light</t>
  </si>
  <si>
    <t>Wall Sconce</t>
  </si>
  <si>
    <t>String Lights</t>
  </si>
  <si>
    <t>All-In-One Computer</t>
  </si>
  <si>
    <t>Computer Monitor</t>
  </si>
  <si>
    <t>Keyboard</t>
  </si>
  <si>
    <t>Electric Screwdriver</t>
  </si>
  <si>
    <t>Rotary Hammer</t>
  </si>
  <si>
    <t>Circular Saw</t>
  </si>
  <si>
    <t>Reciprocating Saw</t>
  </si>
  <si>
    <t>Grinder</t>
  </si>
  <si>
    <t>Sander</t>
  </si>
  <si>
    <t>Eye Drops</t>
  </si>
  <si>
    <t>Nasal Strips</t>
  </si>
  <si>
    <t>White Noise Machine</t>
  </si>
  <si>
    <t>Aromatherapy Diffuser</t>
  </si>
  <si>
    <t xml:space="preserve">Napkins </t>
  </si>
  <si>
    <t>Baby Wipes</t>
  </si>
  <si>
    <t>Cleaning Wipes</t>
  </si>
  <si>
    <t>Handkerchiefs</t>
  </si>
  <si>
    <t>Kitchen Roll</t>
  </si>
  <si>
    <t>Category</t>
  </si>
  <si>
    <t>TITLE</t>
  </si>
  <si>
    <t>1. Book (Novel)</t>
  </si>
  <si>
    <t>Art Book</t>
  </si>
  <si>
    <t>History Book</t>
  </si>
  <si>
    <t>2. Prescription Glasses</t>
  </si>
  <si>
    <t>Contact Lenses</t>
  </si>
  <si>
    <t>3. Toy Duck</t>
  </si>
  <si>
    <t>Toy Dolphin</t>
  </si>
  <si>
    <t>Shower Radio</t>
  </si>
  <si>
    <t>Toy Submarine</t>
  </si>
  <si>
    <t>4. Tooth Brushes</t>
  </si>
  <si>
    <t>Hair Brushes</t>
  </si>
  <si>
    <t>Makeup Brushes</t>
  </si>
  <si>
    <t>Paint Brushes</t>
  </si>
  <si>
    <t>Cleaning Brushes</t>
  </si>
  <si>
    <t>Nail Brushes</t>
  </si>
  <si>
    <t>Dish Brushes</t>
  </si>
  <si>
    <t>Shaving Brushes</t>
  </si>
  <si>
    <t>5. Hammer</t>
  </si>
  <si>
    <t>Tape Measure</t>
  </si>
  <si>
    <t>Socket Wrench</t>
  </si>
  <si>
    <t>Wire Cutter</t>
  </si>
  <si>
    <t>6. TV Remote</t>
  </si>
  <si>
    <t>Air Conditioner Remote</t>
  </si>
  <si>
    <t>Streaming Device</t>
  </si>
  <si>
    <t>Wireless Mouse</t>
  </si>
  <si>
    <t>Media Player</t>
  </si>
  <si>
    <t>Bedroom:</t>
  </si>
  <si>
    <t>1. Magazine</t>
  </si>
  <si>
    <t>Travel Brochure</t>
  </si>
  <si>
    <t>Puzzle Book</t>
  </si>
  <si>
    <t>2. SmartPhone</t>
  </si>
  <si>
    <t>Portable Gaming Console</t>
  </si>
  <si>
    <t>Smart Watch</t>
  </si>
  <si>
    <t>Handheld GPS</t>
  </si>
  <si>
    <t>3. Picture Frame</t>
  </si>
  <si>
    <t>Decorative Mirror</t>
  </si>
  <si>
    <t>4. Alarm Clock</t>
  </si>
  <si>
    <t>Radio</t>
  </si>
  <si>
    <t>Sunrise Simulator</t>
  </si>
  <si>
    <t>Sleep Tracker</t>
  </si>
  <si>
    <t>Echo Dot</t>
  </si>
  <si>
    <t>Bedside Speaker</t>
  </si>
  <si>
    <t>5. Carving Knife</t>
  </si>
  <si>
    <t>Butcher Knife</t>
  </si>
  <si>
    <t>Steak Knife</t>
  </si>
  <si>
    <t>6. Frying Pan</t>
  </si>
  <si>
    <t>Stock Pot</t>
  </si>
  <si>
    <t>Grill Pan</t>
  </si>
  <si>
    <t>Kitchen:</t>
  </si>
  <si>
    <t>1. Letters (mail)</t>
  </si>
  <si>
    <t>Coupons</t>
  </si>
  <si>
    <t>Magazines</t>
  </si>
  <si>
    <t>2. Car Keys</t>
  </si>
  <si>
    <t>Bike Lock Keys</t>
  </si>
  <si>
    <t>Locker Keys</t>
  </si>
  <si>
    <t>Luggage Keys</t>
  </si>
  <si>
    <t>Storage Unit Keys</t>
  </si>
  <si>
    <t>Mailbox Keys</t>
  </si>
  <si>
    <t>Padlock Keys</t>
  </si>
  <si>
    <t>3. Cutlery (knife and fork on a plate)</t>
  </si>
  <si>
    <t>Spoon and Fork</t>
  </si>
  <si>
    <t>Salad Tongs</t>
  </si>
  <si>
    <t>Serving Spoon</t>
  </si>
  <si>
    <t>Butter Knife</t>
  </si>
  <si>
    <t>4. Toaster</t>
  </si>
  <si>
    <t>5. Motor Oil</t>
  </si>
  <si>
    <t>Paint Thinner</t>
  </si>
  <si>
    <t>Pesticide</t>
  </si>
  <si>
    <t>Propane Tank</t>
  </si>
  <si>
    <t>Pool Chemicals</t>
  </si>
  <si>
    <t>Solvent</t>
  </si>
  <si>
    <t>6. Toilet Paper</t>
  </si>
  <si>
    <t>Paper Towel</t>
  </si>
  <si>
    <t>Living-room:</t>
  </si>
  <si>
    <t>1. Newspaper</t>
  </si>
  <si>
    <t>Booklet</t>
  </si>
  <si>
    <t>2. Handbag</t>
  </si>
  <si>
    <t>Laptop Bag</t>
  </si>
  <si>
    <t>Purse</t>
  </si>
  <si>
    <t>3. Bedside Lamp</t>
  </si>
  <si>
    <t>Table Lamp</t>
  </si>
  <si>
    <t>4. Laptop</t>
  </si>
  <si>
    <t>All-in-One PC</t>
  </si>
  <si>
    <t>Gaming Console</t>
  </si>
  <si>
    <t>Smart TV</t>
  </si>
  <si>
    <t>Home Theater System</t>
  </si>
  <si>
    <t>Projector</t>
  </si>
  <si>
    <t>5. Battery Drill</t>
  </si>
  <si>
    <t>Angle Grinder</t>
  </si>
  <si>
    <t>Heat Gun</t>
  </si>
  <si>
    <t>6. Sleep Mask</t>
  </si>
  <si>
    <t>Neck Pillow</t>
  </si>
  <si>
    <t>Snoring Strips</t>
  </si>
  <si>
    <t>Sleep Socks</t>
  </si>
  <si>
    <t>Sleep Cap</t>
  </si>
  <si>
    <t>Bathroom:</t>
  </si>
  <si>
    <t>Contact Lens Case</t>
  </si>
  <si>
    <t>Lip Balm</t>
  </si>
  <si>
    <t>Hair Tie</t>
  </si>
  <si>
    <t>Nail Clippers</t>
  </si>
  <si>
    <t>Tweezers</t>
  </si>
  <si>
    <t>Earbuds</t>
  </si>
  <si>
    <t>Pen</t>
  </si>
  <si>
    <t>Notebook</t>
  </si>
  <si>
    <t>Watch</t>
  </si>
  <si>
    <t>Bottle Opener</t>
  </si>
  <si>
    <t>Can Opener</t>
  </si>
  <si>
    <t>Scissors</t>
  </si>
  <si>
    <t>Measuring Spoons</t>
  </si>
  <si>
    <t>Lighter</t>
  </si>
  <si>
    <t>Chip Clip</t>
  </si>
  <si>
    <t>Ice Cream Scoop</t>
  </si>
  <si>
    <t>Umbrella</t>
  </si>
  <si>
    <t>Scarf</t>
  </si>
  <si>
    <t>Gloves</t>
  </si>
  <si>
    <t>Hat</t>
  </si>
  <si>
    <t>Phone Charger</t>
  </si>
  <si>
    <t>Meat Tenderizer</t>
  </si>
  <si>
    <t>Rolling Pin</t>
  </si>
  <si>
    <t>Garlic Press</t>
  </si>
  <si>
    <t>Potato Masher</t>
  </si>
  <si>
    <t>Oral Irrigator</t>
  </si>
  <si>
    <t>Toothpicks</t>
  </si>
  <si>
    <t>Wall Decal</t>
  </si>
  <si>
    <t>Dreamcatcher</t>
  </si>
  <si>
    <t>Decorative Pillows</t>
  </si>
  <si>
    <t>Scented Candles</t>
  </si>
  <si>
    <t>Wind Chimes</t>
  </si>
  <si>
    <t>Ornamental Figurine</t>
  </si>
  <si>
    <t>Hardcover Book</t>
  </si>
  <si>
    <t>Paperback Book</t>
  </si>
  <si>
    <t>Audiobook</t>
  </si>
  <si>
    <t>Weekly Bulletin</t>
  </si>
  <si>
    <t>Comic Strip</t>
  </si>
  <si>
    <t>News Magazine</t>
  </si>
  <si>
    <t>Decorative Throw</t>
  </si>
  <si>
    <t>Area Rug</t>
  </si>
  <si>
    <t>Indoor Plant</t>
  </si>
  <si>
    <t>Decorative Bookends</t>
  </si>
  <si>
    <t>Artwork</t>
  </si>
  <si>
    <t>Ornamental Vase</t>
  </si>
  <si>
    <t>Bedside Table</t>
  </si>
  <si>
    <t>Jewelry Box</t>
  </si>
  <si>
    <t>Reading Light</t>
  </si>
  <si>
    <t>Charging Station</t>
  </si>
  <si>
    <t>Glasses Case</t>
  </si>
  <si>
    <t>Toy boat</t>
  </si>
  <si>
    <t>Ipad</t>
  </si>
  <si>
    <t>Flashlight</t>
  </si>
  <si>
    <t>canopener</t>
  </si>
  <si>
    <t>saucepan</t>
  </si>
  <si>
    <t>bowl</t>
  </si>
  <si>
    <t>Kettle</t>
  </si>
  <si>
    <t>Coolant</t>
  </si>
  <si>
    <t>paper towels</t>
  </si>
  <si>
    <t>Plant</t>
  </si>
  <si>
    <t>Diary</t>
  </si>
  <si>
    <t>Portraits</t>
  </si>
  <si>
    <t>Landscapes</t>
  </si>
  <si>
    <t>Black</t>
  </si>
  <si>
    <t>Orange</t>
  </si>
  <si>
    <t>Sky Blue</t>
  </si>
  <si>
    <t>Bluish Green</t>
  </si>
  <si>
    <t>Yellow</t>
  </si>
  <si>
    <t>Blue</t>
  </si>
  <si>
    <t>Vermillion</t>
  </si>
  <si>
    <t>Reddish Purple</t>
  </si>
  <si>
    <t>Red</t>
  </si>
  <si>
    <t>Green</t>
  </si>
  <si>
    <t>Have you consumed any caffeine or stimulants in the last six hours?</t>
  </si>
  <si>
    <t>Have you consumed any intoxicating substances in the last six hours?</t>
  </si>
  <si>
    <t>Which stimulant and how many servings?</t>
  </si>
  <si>
    <t>Which substance and how many servings?</t>
  </si>
  <si>
    <t>Select which of the living-room's wall(s) had a window.</t>
  </si>
  <si>
    <t>Select which of the living-room's wall(s) had a door.</t>
  </si>
  <si>
    <t>From the options below, select an item that you recall interacting with in the living-room.</t>
  </si>
  <si>
    <t>Where did you PICK UP this item from?</t>
  </si>
  <si>
    <t>Where did you PUT DOWN this item?</t>
  </si>
  <si>
    <t>The FIRST observation task I completed in the living-room was...</t>
  </si>
  <si>
    <t>The SECOND observation task I completed in the living-room was...</t>
  </si>
  <si>
    <t>The THIRD observation task I completed in the living-room was...</t>
  </si>
  <si>
    <t>The FOURTH observation task I completed in the living-room was...</t>
  </si>
  <si>
    <t>The FIFTH observation task I completed in the living-room was...</t>
  </si>
  <si>
    <t>The SIXTH observation task I completed in the living-room was...</t>
  </si>
  <si>
    <t>Using the image above, select which sections of wall had a door.</t>
  </si>
  <si>
    <t>Using the image above, select which sections of wall had a window.</t>
  </si>
  <si>
    <t>Which landscape did you see in the living-room?</t>
  </si>
  <si>
    <t>Using the picture above, identify the location of this landscape.</t>
  </si>
  <si>
    <t>Which portrait did you see in the living-room?</t>
  </si>
  <si>
    <t>Using the picture above, identify the location of this portrait.</t>
  </si>
  <si>
    <t>Which of the following items do you recognise interacting with in the living-room?</t>
  </si>
  <si>
    <t>I picked this item up from near the</t>
  </si>
  <si>
    <t>I put this item down near the</t>
  </si>
  <si>
    <t>FR</t>
  </si>
  <si>
    <t>CR</t>
  </si>
  <si>
    <t>Items FR</t>
  </si>
  <si>
    <t>Items CR</t>
  </si>
  <si>
    <t>Items Rec</t>
  </si>
  <si>
    <t>Remain</t>
  </si>
  <si>
    <t>Which strange object do you recall being in the living-room?</t>
  </si>
  <si>
    <t>Using the picture above identify the location of this object.</t>
  </si>
  <si>
    <t>Room Rec</t>
  </si>
  <si>
    <t>Total</t>
  </si>
  <si>
    <t>Name of the item</t>
  </si>
  <si>
    <t>Notebook/Diary</t>
  </si>
  <si>
    <t>Letters/Mail</t>
  </si>
  <si>
    <t>Box/Parcel</t>
  </si>
  <si>
    <t>Book/Novel</t>
  </si>
  <si>
    <t>Sales Catalogue</t>
  </si>
  <si>
    <t>Sketchbook</t>
  </si>
  <si>
    <t>Package</t>
  </si>
  <si>
    <t>Crate</t>
  </si>
  <si>
    <t>Planner</t>
  </si>
  <si>
    <t>Coupon Booklet</t>
  </si>
  <si>
    <t>Leaflet</t>
  </si>
  <si>
    <t>Thesauraus</t>
  </si>
  <si>
    <t>TV Guide</t>
  </si>
  <si>
    <t>Notepad</t>
  </si>
  <si>
    <t>Gift Box</t>
  </si>
  <si>
    <t>Rubber Duck</t>
  </si>
  <si>
    <t>Tooth Brushes</t>
  </si>
  <si>
    <t>Smartphone</t>
  </si>
  <si>
    <t>Pot Plant</t>
  </si>
  <si>
    <t>Frying Pan</t>
  </si>
  <si>
    <t>Pot / Saucepan</t>
  </si>
  <si>
    <t>Bowl and Cutlery</t>
  </si>
  <si>
    <t>Swim Goggles</t>
  </si>
  <si>
    <t>Safety Glasses</t>
  </si>
  <si>
    <t>Baseball Cap</t>
  </si>
  <si>
    <t>Sweatband</t>
  </si>
  <si>
    <t>Face Shield</t>
  </si>
  <si>
    <t>Dictaphone</t>
  </si>
  <si>
    <t>Calculator</t>
  </si>
  <si>
    <t>Money Clip</t>
  </si>
  <si>
    <t>Padlock</t>
  </si>
  <si>
    <t>Passport</t>
  </si>
  <si>
    <t>Credit Card</t>
  </si>
  <si>
    <t>Gym Bag</t>
  </si>
  <si>
    <t>Lunch Cooler</t>
  </si>
  <si>
    <t>Suitcase</t>
  </si>
  <si>
    <t>Rubbish Bag</t>
  </si>
  <si>
    <t>Plate and Cutlery</t>
  </si>
  <si>
    <t>Shower Cap</t>
  </si>
  <si>
    <t>Bath Towel</t>
  </si>
  <si>
    <t>Toy Car</t>
  </si>
  <si>
    <t>Toy Truck</t>
  </si>
  <si>
    <t>Decorative Candle</t>
  </si>
  <si>
    <t>Small Sculpture</t>
  </si>
  <si>
    <t>Jewlery Box</t>
  </si>
  <si>
    <t>Coasters</t>
  </si>
  <si>
    <t>Mini Statue</t>
  </si>
  <si>
    <t>Mug and Spoon</t>
  </si>
  <si>
    <t>Glass and Straw</t>
  </si>
  <si>
    <t>Bowl and Chopsticks</t>
  </si>
  <si>
    <t>Glass and Coaster</t>
  </si>
  <si>
    <t>Icecream Scoop</t>
  </si>
  <si>
    <t>Desk Fan</t>
  </si>
  <si>
    <t>Paperweight</t>
  </si>
  <si>
    <t>Candle</t>
  </si>
  <si>
    <t>Glowstick</t>
  </si>
  <si>
    <t>Cotton Swabs</t>
  </si>
  <si>
    <t>Shaving Cream</t>
  </si>
  <si>
    <t>Sunscreen</t>
  </si>
  <si>
    <t>Deoderant</t>
  </si>
  <si>
    <t>Egg Timer</t>
  </si>
  <si>
    <t>Bracelet</t>
  </si>
  <si>
    <t>Compass</t>
  </si>
  <si>
    <t>Pocket Watch</t>
  </si>
  <si>
    <t>Teapot</t>
  </si>
  <si>
    <t>Panini Press</t>
  </si>
  <si>
    <t>Waffle Iron</t>
  </si>
  <si>
    <t>Coffee Grinder</t>
  </si>
  <si>
    <t>iPad</t>
  </si>
  <si>
    <t>Wireless Keyboard</t>
  </si>
  <si>
    <t>Tablet Computer</t>
  </si>
  <si>
    <t>DVD Player</t>
  </si>
  <si>
    <t>Corkscrew</t>
  </si>
  <si>
    <t>Staple Gun</t>
  </si>
  <si>
    <t>Bolt Cutters</t>
  </si>
  <si>
    <t>Pizza Cutter</t>
  </si>
  <si>
    <t>Brake Fluid</t>
  </si>
  <si>
    <t>Car Wax</t>
  </si>
  <si>
    <t>Glass Cleaner</t>
  </si>
  <si>
    <t>Air Freshner</t>
  </si>
  <si>
    <t>Jumper Cables</t>
  </si>
  <si>
    <t>Engine Degreaser</t>
  </si>
  <si>
    <t>Soldering Iron</t>
  </si>
  <si>
    <t>Wood Chisel</t>
  </si>
  <si>
    <t>Hot Glue Gun</t>
  </si>
  <si>
    <t>Aircon Remote</t>
  </si>
  <si>
    <t>Joystick</t>
  </si>
  <si>
    <t>Keyboard and Mouse</t>
  </si>
  <si>
    <t>Garage Door Remote</t>
  </si>
  <si>
    <t>Digital Timer</t>
  </si>
  <si>
    <t>Voice Recorder</t>
  </si>
  <si>
    <t>Sieve</t>
  </si>
  <si>
    <t>Sponge</t>
  </si>
  <si>
    <t>Handkerchief</t>
  </si>
  <si>
    <t>Dishcloth</t>
  </si>
  <si>
    <t>Blanket</t>
  </si>
  <si>
    <t>Socks</t>
  </si>
  <si>
    <t>Sleeping tablets</t>
  </si>
  <si>
    <t>Sleeping Bag</t>
  </si>
  <si>
    <t>Q Code</t>
  </si>
  <si>
    <t>KEY</t>
  </si>
  <si>
    <t>PX</t>
  </si>
  <si>
    <t>AGE</t>
  </si>
  <si>
    <t>TEST</t>
  </si>
  <si>
    <t>ROOM</t>
  </si>
  <si>
    <t>QUESTION</t>
  </si>
  <si>
    <t>FOCUS</t>
  </si>
  <si>
    <t>RECALL TYPE</t>
  </si>
  <si>
    <t>DOMAIN</t>
  </si>
  <si>
    <t>FORM ID</t>
  </si>
  <si>
    <t>_ _ _</t>
  </si>
  <si>
    <t>_ _</t>
  </si>
  <si>
    <t>_</t>
  </si>
  <si>
    <t>_ _ _ _</t>
  </si>
  <si>
    <t>1-100</t>
  </si>
  <si>
    <t>0 - NA</t>
  </si>
  <si>
    <t>0 - INFO</t>
  </si>
  <si>
    <t>1 - STATIC</t>
  </si>
  <si>
    <t>2 - INTERACT</t>
  </si>
  <si>
    <t>2 - CUED</t>
  </si>
  <si>
    <t>1 - FREE</t>
  </si>
  <si>
    <t>3 - RECOG</t>
  </si>
  <si>
    <t>1 - WHAT</t>
  </si>
  <si>
    <t>2 - WHERE</t>
  </si>
  <si>
    <t>3 - WHEN</t>
  </si>
  <si>
    <t>CONFIDENCE</t>
  </si>
  <si>
    <t>0 - NO</t>
  </si>
  <si>
    <t>1 - YES</t>
  </si>
  <si>
    <t>System</t>
  </si>
  <si>
    <t>User ID</t>
  </si>
  <si>
    <t>Date</t>
  </si>
  <si>
    <t>Counter</t>
  </si>
  <si>
    <t>Focus</t>
  </si>
  <si>
    <t>Recall Type</t>
  </si>
  <si>
    <t>Domain</t>
  </si>
  <si>
    <t>Form ID</t>
  </si>
  <si>
    <t>Confidence</t>
  </si>
  <si>
    <t>Item No</t>
  </si>
  <si>
    <t>3 - SLEEP</t>
  </si>
  <si>
    <t>Quiz ID</t>
  </si>
  <si>
    <t>Sheet ID</t>
  </si>
  <si>
    <t>Slp-User ID</t>
  </si>
  <si>
    <t>Slp-Date</t>
  </si>
  <si>
    <t>Slp-Time</t>
  </si>
  <si>
    <t>Slp-Counter</t>
  </si>
  <si>
    <t>Slp-Room</t>
  </si>
  <si>
    <t>How would you rate the quality of your sleep last night compared to a typical night's sleep?</t>
  </si>
  <si>
    <t>Slp-Hours</t>
  </si>
  <si>
    <t>Slp-Wake</t>
  </si>
  <si>
    <t>Slp-Qual</t>
  </si>
  <si>
    <t>Slp-Tired</t>
  </si>
  <si>
    <t>Slp-Caff</t>
  </si>
  <si>
    <t>Slp-CaffTyp</t>
  </si>
  <si>
    <t>Slp-Tox</t>
  </si>
  <si>
    <t>Slp-ToxTyp</t>
  </si>
  <si>
    <t>Slp-Help</t>
  </si>
  <si>
    <t>Slp-HelpTyp</t>
  </si>
  <si>
    <t>RFR-Room</t>
  </si>
  <si>
    <t>RFR-Time</t>
  </si>
  <si>
    <t>RFR-Weat</t>
  </si>
  <si>
    <t>RFR-O1N</t>
  </si>
  <si>
    <t>RFR-O1-L</t>
  </si>
  <si>
    <t>RFR-O2N</t>
  </si>
  <si>
    <t>RFR-O2L</t>
  </si>
  <si>
    <t>RFR-O3-N</t>
  </si>
  <si>
    <t>RFR-O3L</t>
  </si>
  <si>
    <t>RFR-O4N</t>
  </si>
  <si>
    <t>RFR-O4L</t>
  </si>
  <si>
    <t>RFR-WN</t>
  </si>
  <si>
    <t>RFR-WL</t>
  </si>
  <si>
    <t>RFR-Wind</t>
  </si>
  <si>
    <t>RFR-Door</t>
  </si>
  <si>
    <t>RFR-Pic1N</t>
  </si>
  <si>
    <t>RFR-Pic1L</t>
  </si>
  <si>
    <t>RFR-Pic2N</t>
  </si>
  <si>
    <t>RFR-Pic2L</t>
  </si>
  <si>
    <t>RFR-UserID</t>
  </si>
  <si>
    <t>RFR-Date</t>
  </si>
  <si>
    <t>RFR-Counter</t>
  </si>
  <si>
    <t>RFR-Order</t>
  </si>
  <si>
    <t>Approximately what time of day was it in the [user_meta key="c_room"]?</t>
  </si>
  <si>
    <t>What was the weather like outside the [user_meta key="c_room"]?</t>
  </si>
  <si>
    <t>Name the largest fixture/furniture in the [user_meta key="c_room"].</t>
  </si>
  <si>
    <t>Which area of the room was this object located?</t>
  </si>
  <si>
    <t>Name the second largest fixture/furniture in the [user_meta key="c_room"].</t>
  </si>
  <si>
    <t>Name the third largest fixture/furniture in the [user_meta key="c_room"].</t>
  </si>
  <si>
    <t>Name the fourth largest fixture/furniture in the [user_meta key="c_room"].</t>
  </si>
  <si>
    <t>Select which of the [user_meta key="c_room"]'s wall(s) had a window.</t>
  </si>
  <si>
    <t>Select which of the [user_meta key="c_room"]'s wall(s) had a door.</t>
  </si>
  <si>
    <t>Which one of the [user_meta key="c_room"]'s walls had this picture?</t>
  </si>
  <si>
    <t>IFR-UserID</t>
  </si>
  <si>
    <t>IFR-Date</t>
  </si>
  <si>
    <t>IFR-Time</t>
  </si>
  <si>
    <t>IFR-Counter</t>
  </si>
  <si>
    <t>IFR-Room</t>
  </si>
  <si>
    <t xml:space="preserve">IFR-i1N </t>
  </si>
  <si>
    <t>IFR-i1NC</t>
  </si>
  <si>
    <t xml:space="preserve">IFR-i1PU </t>
  </si>
  <si>
    <t>IFR-i1PUC</t>
  </si>
  <si>
    <t xml:space="preserve">IFR-i1PD </t>
  </si>
  <si>
    <t>IFR-i1PDC</t>
  </si>
  <si>
    <t xml:space="preserve">IFR-i1O </t>
  </si>
  <si>
    <t>IFR-i1OC</t>
  </si>
  <si>
    <t xml:space="preserve">IFR-i2N </t>
  </si>
  <si>
    <t>IFR-i2NC</t>
  </si>
  <si>
    <t xml:space="preserve">IFR-i2PU </t>
  </si>
  <si>
    <t>IFR-i2PUC</t>
  </si>
  <si>
    <t xml:space="preserve">IFR-i2PD </t>
  </si>
  <si>
    <t>IFR-i2PDC</t>
  </si>
  <si>
    <t xml:space="preserve">IFR-i2O </t>
  </si>
  <si>
    <t>IFR-i2OC</t>
  </si>
  <si>
    <t xml:space="preserve">IFR-i3N </t>
  </si>
  <si>
    <t>IFR-i3NC</t>
  </si>
  <si>
    <t xml:space="preserve">IFR-i3PU </t>
  </si>
  <si>
    <t>IFR-i3PUC</t>
  </si>
  <si>
    <t xml:space="preserve">IFR-i3PD </t>
  </si>
  <si>
    <t>IFR-i3PDC</t>
  </si>
  <si>
    <t xml:space="preserve">IFR-i3O </t>
  </si>
  <si>
    <t>IFR-i3OC</t>
  </si>
  <si>
    <t xml:space="preserve">IFR-i4N </t>
  </si>
  <si>
    <t>IFR-i4NC</t>
  </si>
  <si>
    <t xml:space="preserve">IFR-i4PU </t>
  </si>
  <si>
    <t>IFR-i4PUC</t>
  </si>
  <si>
    <t xml:space="preserve">IFR-i4PD </t>
  </si>
  <si>
    <t>IFR-i4PDC</t>
  </si>
  <si>
    <t xml:space="preserve">IFR-i4O </t>
  </si>
  <si>
    <t>IFR-i4OC</t>
  </si>
  <si>
    <t xml:space="preserve">IFR-i5N </t>
  </si>
  <si>
    <t>IFR-i5NC</t>
  </si>
  <si>
    <t xml:space="preserve">IFR-i5PU </t>
  </si>
  <si>
    <t>IFR-i5PUC</t>
  </si>
  <si>
    <t xml:space="preserve">IFR-i5PD </t>
  </si>
  <si>
    <t>IFR-i5PDC</t>
  </si>
  <si>
    <t xml:space="preserve">IFR-i5O </t>
  </si>
  <si>
    <t>IFR-i5OC</t>
  </si>
  <si>
    <t xml:space="preserve">IFR-i6N </t>
  </si>
  <si>
    <t>IFR-i6NC</t>
  </si>
  <si>
    <t xml:space="preserve">IFR-i6PU </t>
  </si>
  <si>
    <t>IFR-i6PUC</t>
  </si>
  <si>
    <t xml:space="preserve">IFR-i6PD </t>
  </si>
  <si>
    <t>IFR-i6PDC</t>
  </si>
  <si>
    <t xml:space="preserve">IFR-i6O </t>
  </si>
  <si>
    <t>IFR-i6OC</t>
  </si>
  <si>
    <t>I picked this item up near the</t>
  </si>
  <si>
    <t>MAP SHEET HEADERS</t>
  </si>
  <si>
    <t>TCR-UserID</t>
  </si>
  <si>
    <t>TCR-Date</t>
  </si>
  <si>
    <t>TCR-Time</t>
  </si>
  <si>
    <t>TCR-Counter</t>
  </si>
  <si>
    <t>TCR-Room</t>
  </si>
  <si>
    <t>TCR-T1</t>
  </si>
  <si>
    <t>TCR-T1C</t>
  </si>
  <si>
    <t>TCR-T2</t>
  </si>
  <si>
    <t>TCR-T2C</t>
  </si>
  <si>
    <t>TCR-T3</t>
  </si>
  <si>
    <t>TCR-T3C</t>
  </si>
  <si>
    <t>TCR-T4</t>
  </si>
  <si>
    <t>TCR-T4C</t>
  </si>
  <si>
    <t>TCR-T5</t>
  </si>
  <si>
    <t>TCR-T5C</t>
  </si>
  <si>
    <t>TCR-T6</t>
  </si>
  <si>
    <t>TCR-T6C</t>
  </si>
  <si>
    <t>Identify the [user_meta key="c_room"]'s four largest furniture/fixtures</t>
  </si>
  <si>
    <t>Count the number of doors/windows/lights</t>
  </si>
  <si>
    <t>Describe the [user_meta key="c_room"]'s walls/floor/pictures</t>
  </si>
  <si>
    <t>Notice the weather outside and time of day</t>
  </si>
  <si>
    <t>Look for objects that don't belong in the [user_meta key="c_room"]</t>
  </si>
  <si>
    <t>Freely explore the [user_meta key="c_room"] for one minute</t>
  </si>
  <si>
    <t>ICR-UserID</t>
  </si>
  <si>
    <t>ICR-Date</t>
  </si>
  <si>
    <t>ICR-Time</t>
  </si>
  <si>
    <t>ICR-Counter</t>
  </si>
  <si>
    <t>ICR-Room</t>
  </si>
  <si>
    <t>ICR-i1Nbat</t>
  </si>
  <si>
    <t>ICR-i1Nbed</t>
  </si>
  <si>
    <t>ICR-i1Nkit</t>
  </si>
  <si>
    <t>ICR-i1Nliv</t>
  </si>
  <si>
    <t xml:space="preserve">ICR-i1NC </t>
  </si>
  <si>
    <t xml:space="preserve">ICR-i1PU </t>
  </si>
  <si>
    <t xml:space="preserve">ICR-i1PUC </t>
  </si>
  <si>
    <t xml:space="preserve">ICR-i1PD </t>
  </si>
  <si>
    <t xml:space="preserve">ICR-i1PDC </t>
  </si>
  <si>
    <t xml:space="preserve">ICR-i1O </t>
  </si>
  <si>
    <t xml:space="preserve">ICR-i1OC </t>
  </si>
  <si>
    <t>ICR-i2Nbat</t>
  </si>
  <si>
    <t>ICR-i2Nbed</t>
  </si>
  <si>
    <t>ICR-i2Nkit</t>
  </si>
  <si>
    <t>ICR-i2Nliv</t>
  </si>
  <si>
    <t xml:space="preserve">ICR-i2NC </t>
  </si>
  <si>
    <t xml:space="preserve">ICR-i2PU </t>
  </si>
  <si>
    <t xml:space="preserve">ICR-i2PUC </t>
  </si>
  <si>
    <t xml:space="preserve">ICR-i2PD </t>
  </si>
  <si>
    <t xml:space="preserve">ICR-i2PDC </t>
  </si>
  <si>
    <t xml:space="preserve">ICR-i2O </t>
  </si>
  <si>
    <t xml:space="preserve">ICR-i2OC </t>
  </si>
  <si>
    <t>ICR-i3Nbat</t>
  </si>
  <si>
    <t>ICR-i3Nbed</t>
  </si>
  <si>
    <t>ICR-i3Nkit</t>
  </si>
  <si>
    <t>ICR-i3Nliv</t>
  </si>
  <si>
    <t xml:space="preserve">ICR-i3NC </t>
  </si>
  <si>
    <t xml:space="preserve">ICR-i3PU </t>
  </si>
  <si>
    <t xml:space="preserve">ICR-i3PUC </t>
  </si>
  <si>
    <t xml:space="preserve">ICR-i3PD </t>
  </si>
  <si>
    <t xml:space="preserve">ICR-i3PDC </t>
  </si>
  <si>
    <t xml:space="preserve">ICR-i3O </t>
  </si>
  <si>
    <t xml:space="preserve">ICR-i3OC </t>
  </si>
  <si>
    <t>ICR-i4Nbat</t>
  </si>
  <si>
    <t>ICR-i4Nbed</t>
  </si>
  <si>
    <t>ICR-i4Nkit</t>
  </si>
  <si>
    <t>ICR-i4Nliv</t>
  </si>
  <si>
    <t xml:space="preserve">ICR-i4NC </t>
  </si>
  <si>
    <t xml:space="preserve">ICR-i4PU </t>
  </si>
  <si>
    <t xml:space="preserve">ICR-i4PUC </t>
  </si>
  <si>
    <t xml:space="preserve">ICR-i4PD </t>
  </si>
  <si>
    <t xml:space="preserve">ICR-i4PDC </t>
  </si>
  <si>
    <t xml:space="preserve">ICR-i4O </t>
  </si>
  <si>
    <t xml:space="preserve">ICR-i4OC </t>
  </si>
  <si>
    <t>ICR-i5Nbat</t>
  </si>
  <si>
    <t>ICR-i5Nbed</t>
  </si>
  <si>
    <t>ICR-i5Nkit</t>
  </si>
  <si>
    <t>ICR-i5Nliv</t>
  </si>
  <si>
    <t xml:space="preserve">ICR-i5NC </t>
  </si>
  <si>
    <t xml:space="preserve">ICR-i5PU </t>
  </si>
  <si>
    <t xml:space="preserve">ICR-i5PUC </t>
  </si>
  <si>
    <t xml:space="preserve">ICR-i5PD </t>
  </si>
  <si>
    <t xml:space="preserve">ICR-i5PDC </t>
  </si>
  <si>
    <t xml:space="preserve">ICR-i5O </t>
  </si>
  <si>
    <t xml:space="preserve">ICR-i5OC </t>
  </si>
  <si>
    <t>ICR-i6Nbat</t>
  </si>
  <si>
    <t>ICR-i6Nbed</t>
  </si>
  <si>
    <t>ICR-i6Nkit</t>
  </si>
  <si>
    <t>ICR-i6Nliv</t>
  </si>
  <si>
    <t xml:space="preserve">ICR-i6NC </t>
  </si>
  <si>
    <t xml:space="preserve">ICR-i6PU </t>
  </si>
  <si>
    <t xml:space="preserve">ICR-i6PUC </t>
  </si>
  <si>
    <t xml:space="preserve">ICR-i6PD </t>
  </si>
  <si>
    <t xml:space="preserve">ICR-i6PDC </t>
  </si>
  <si>
    <t xml:space="preserve">ICR-i6O </t>
  </si>
  <si>
    <t xml:space="preserve">ICR-i6OC </t>
  </si>
  <si>
    <t>3372</t>
  </si>
  <si>
    <t>3373</t>
  </si>
  <si>
    <t>3374</t>
  </si>
  <si>
    <t>3375</t>
  </si>
  <si>
    <t>3376</t>
  </si>
  <si>
    <t>3598</t>
  </si>
  <si>
    <t>3602</t>
  </si>
  <si>
    <t>3601</t>
  </si>
  <si>
    <t>3600</t>
  </si>
  <si>
    <t>3384</t>
  </si>
  <si>
    <t>3382</t>
  </si>
  <si>
    <t>3386</t>
  </si>
  <si>
    <t>4127</t>
  </si>
  <si>
    <t>3387</t>
  </si>
  <si>
    <t>4207</t>
  </si>
  <si>
    <t>4132</t>
  </si>
  <si>
    <t>4290</t>
  </si>
  <si>
    <t>4291</t>
  </si>
  <si>
    <t>4292</t>
  </si>
  <si>
    <t>4293</t>
  </si>
  <si>
    <t>4174</t>
  </si>
  <si>
    <t>4210</t>
  </si>
  <si>
    <t>4175</t>
  </si>
  <si>
    <t>4228</t>
  </si>
  <si>
    <t>4176</t>
  </si>
  <si>
    <t>4204</t>
  </si>
  <si>
    <t>4177</t>
  </si>
  <si>
    <t>4164</t>
  </si>
  <si>
    <t>4165</t>
  </si>
  <si>
    <t>4166</t>
  </si>
  <si>
    <t>4167</t>
  </si>
  <si>
    <t>4178</t>
  </si>
  <si>
    <t>4340</t>
  </si>
  <si>
    <t>4179</t>
  </si>
  <si>
    <t>4344</t>
  </si>
  <si>
    <t>4180</t>
  </si>
  <si>
    <t>4348</t>
  </si>
  <si>
    <t>4181</t>
  </si>
  <si>
    <t>4296</t>
  </si>
  <si>
    <t>4297</t>
  </si>
  <si>
    <t>4298</t>
  </si>
  <si>
    <t>4299</t>
  </si>
  <si>
    <t>4184</t>
  </si>
  <si>
    <t>4341</t>
  </si>
  <si>
    <t>4182</t>
  </si>
  <si>
    <t>4345</t>
  </si>
  <si>
    <t>4183</t>
  </si>
  <si>
    <t>4349</t>
  </si>
  <si>
    <t>4185</t>
  </si>
  <si>
    <t>4302</t>
  </si>
  <si>
    <t>4303</t>
  </si>
  <si>
    <t>4304</t>
  </si>
  <si>
    <t>4305</t>
  </si>
  <si>
    <t>4187</t>
  </si>
  <si>
    <t>4342</t>
  </si>
  <si>
    <t>4188</t>
  </si>
  <si>
    <t>4346</t>
  </si>
  <si>
    <t>4186</t>
  </si>
  <si>
    <t>4350</t>
  </si>
  <si>
    <t>4189</t>
  </si>
  <si>
    <t>4308</t>
  </si>
  <si>
    <t>4309</t>
  </si>
  <si>
    <t>4310</t>
  </si>
  <si>
    <t>4311</t>
  </si>
  <si>
    <t>4190</t>
  </si>
  <si>
    <t>4343</t>
  </si>
  <si>
    <t>4192</t>
  </si>
  <si>
    <t>4347</t>
  </si>
  <si>
    <t>4191</t>
  </si>
  <si>
    <t>4351</t>
  </si>
  <si>
    <t>4193</t>
  </si>
  <si>
    <t>RRE-UserID</t>
  </si>
  <si>
    <t>RRE-Date</t>
  </si>
  <si>
    <t>RRE-Time</t>
  </si>
  <si>
    <t>RRE-Counter</t>
  </si>
  <si>
    <t>RRE-Room</t>
  </si>
  <si>
    <t>RRE-Door</t>
  </si>
  <si>
    <t>RRE-DoorC</t>
  </si>
  <si>
    <t>RRE-Window</t>
  </si>
  <si>
    <t>RRE-WindowC</t>
  </si>
  <si>
    <t>RRE-LandNbat</t>
  </si>
  <si>
    <t>RRE-LandNbed</t>
  </si>
  <si>
    <t>RRE-LandNkit</t>
  </si>
  <si>
    <t>RRE-LandNliv</t>
  </si>
  <si>
    <t>RRE-LandNC</t>
  </si>
  <si>
    <t>RRE-LandL</t>
  </si>
  <si>
    <t>RRE-LandLC</t>
  </si>
  <si>
    <t>RRE-PortNbat</t>
  </si>
  <si>
    <t>RRE-PortNbed</t>
  </si>
  <si>
    <t>RRE-PortNkit</t>
  </si>
  <si>
    <t>RRE-PortNliv</t>
  </si>
  <si>
    <t>RRE-PortNC</t>
  </si>
  <si>
    <t>RRE-PortL</t>
  </si>
  <si>
    <t>RRE-PortLC</t>
  </si>
  <si>
    <t>RRE-StraNbat</t>
  </si>
  <si>
    <t>RRE-StraNbed</t>
  </si>
  <si>
    <t>RRE-StraNkit</t>
  </si>
  <si>
    <t>RRE-StraNliv</t>
  </si>
  <si>
    <t>RRE-StraNC</t>
  </si>
  <si>
    <t>RRE-StraL</t>
  </si>
  <si>
    <t>RRE-StraLC</t>
  </si>
  <si>
    <t>2743</t>
  </si>
  <si>
    <t>2744</t>
  </si>
  <si>
    <t>2745</t>
  </si>
  <si>
    <t>2746</t>
  </si>
  <si>
    <t>2747</t>
  </si>
  <si>
    <t>3795</t>
  </si>
  <si>
    <t>3796</t>
  </si>
  <si>
    <t>3798</t>
  </si>
  <si>
    <t>3799</t>
  </si>
  <si>
    <t>3773</t>
  </si>
  <si>
    <t>3774</t>
  </si>
  <si>
    <t>3775</t>
  </si>
  <si>
    <t>3776</t>
  </si>
  <si>
    <t>3777</t>
  </si>
  <si>
    <t>3779</t>
  </si>
  <si>
    <t>3780</t>
  </si>
  <si>
    <t>3759</t>
  </si>
  <si>
    <t>3760</t>
  </si>
  <si>
    <t>3761</t>
  </si>
  <si>
    <t>3762</t>
  </si>
  <si>
    <t>3763</t>
  </si>
  <si>
    <t>3765</t>
  </si>
  <si>
    <t>3766</t>
  </si>
  <si>
    <t>4354</t>
  </si>
  <si>
    <t>4355</t>
  </si>
  <si>
    <t>4356</t>
  </si>
  <si>
    <t>4357</t>
  </si>
  <si>
    <t>4358</t>
  </si>
  <si>
    <t>4360</t>
  </si>
  <si>
    <t>4361</t>
  </si>
  <si>
    <t>In the bathroom I picked up a</t>
  </si>
  <si>
    <t>In the bedroom I picked up a</t>
  </si>
  <si>
    <t>In the kitchen I picked up a</t>
  </si>
  <si>
    <t>In the living-room I picked up a</t>
  </si>
  <si>
    <t>I picked this item up from near</t>
  </si>
  <si>
    <t>I put this item down near</t>
  </si>
  <si>
    <t>Which landscape did you see in the bathroom?</t>
  </si>
  <si>
    <t>Which landscape did you see in the bedroom?</t>
  </si>
  <si>
    <t>Which landscape did you see in the kitchen?</t>
  </si>
  <si>
    <t>Using the picture above, identify the location of this landscape in the [user_meta key="c_room"]</t>
  </si>
  <si>
    <t>Which portrait did you see in the bathroom?</t>
  </si>
  <si>
    <t>Which portrait did you see in the bedroom?</t>
  </si>
  <si>
    <t>Which portrait did you see in the kitchen?</t>
  </si>
  <si>
    <t>Using the picture above, identify the location of this portrait in the [user_meta key="c_room"]</t>
  </si>
  <si>
    <t>Which strange object did you see in the bathroom?</t>
  </si>
  <si>
    <t>Which strange object did you see in the bedroom?</t>
  </si>
  <si>
    <t>Which strange object did you see in the kitchen?</t>
  </si>
  <si>
    <t>Which strange object did you see in the living-room?</t>
  </si>
  <si>
    <t>Using the picture above, identify the location of this strange object in the [user_meta key="c_room"]</t>
  </si>
  <si>
    <t>IRE-UserID</t>
  </si>
  <si>
    <t>IRE-Date</t>
  </si>
  <si>
    <t>IRE-Time</t>
  </si>
  <si>
    <t>IRE-Counter</t>
  </si>
  <si>
    <t>IRE-Room</t>
  </si>
  <si>
    <t>IRE-i1Nbat</t>
  </si>
  <si>
    <t>IRE-i1Nbed</t>
  </si>
  <si>
    <t>IRE-i1Nkit</t>
  </si>
  <si>
    <t>IRE-i1Nliv</t>
  </si>
  <si>
    <t>IRE-i1NC</t>
  </si>
  <si>
    <t xml:space="preserve">IRE-i1PU </t>
  </si>
  <si>
    <t xml:space="preserve">IRE-i1PUC </t>
  </si>
  <si>
    <t xml:space="preserve">IRE-i1PD </t>
  </si>
  <si>
    <t xml:space="preserve">IRE-i1PDC </t>
  </si>
  <si>
    <t xml:space="preserve">IRE-i1O </t>
  </si>
  <si>
    <t xml:space="preserve">IRE-i1OC </t>
  </si>
  <si>
    <t>IRE-i2Nbat</t>
  </si>
  <si>
    <t>IRE-i2Nbed</t>
  </si>
  <si>
    <t>IRE-i2Nkit</t>
  </si>
  <si>
    <t>IRE-i2Nliv</t>
  </si>
  <si>
    <t>IRE-i2NC</t>
  </si>
  <si>
    <t xml:space="preserve">IRE-i2PU </t>
  </si>
  <si>
    <t xml:space="preserve">IRE-i2PUC </t>
  </si>
  <si>
    <t xml:space="preserve">IRE-i2PD </t>
  </si>
  <si>
    <t xml:space="preserve">IRE-i2PDC </t>
  </si>
  <si>
    <t xml:space="preserve">IRE-i2O </t>
  </si>
  <si>
    <t xml:space="preserve">IRE-i2OC </t>
  </si>
  <si>
    <t>IRE-i3Nbat</t>
  </si>
  <si>
    <t>IRE-i3Nbed</t>
  </si>
  <si>
    <t>IRE-i3Nkit</t>
  </si>
  <si>
    <t>IRE-i3Nliv</t>
  </si>
  <si>
    <t>IRE-i3NC</t>
  </si>
  <si>
    <t xml:space="preserve">IRE-i3PU </t>
  </si>
  <si>
    <t xml:space="preserve">IRE-i3PUC </t>
  </si>
  <si>
    <t xml:space="preserve">IRE-i3PD </t>
  </si>
  <si>
    <t xml:space="preserve">IRE-i3PDC </t>
  </si>
  <si>
    <t xml:space="preserve">IRE-i3O </t>
  </si>
  <si>
    <t xml:space="preserve">IRE-i3OC </t>
  </si>
  <si>
    <t>IRE-i4Nbat</t>
  </si>
  <si>
    <t>IRE-i4Nbed</t>
  </si>
  <si>
    <t>IRE-i4Nkit</t>
  </si>
  <si>
    <t>IRE-i4Nliv</t>
  </si>
  <si>
    <t>IRE-i4NC</t>
  </si>
  <si>
    <t xml:space="preserve">IRE-i4PU </t>
  </si>
  <si>
    <t xml:space="preserve">IRE-i4PUC </t>
  </si>
  <si>
    <t xml:space="preserve">IRE-i4PD </t>
  </si>
  <si>
    <t xml:space="preserve">IRE-i4PDC </t>
  </si>
  <si>
    <t xml:space="preserve">IRE-i4O </t>
  </si>
  <si>
    <t xml:space="preserve">IRE-i4OC </t>
  </si>
  <si>
    <t>IRE-i5Nbat</t>
  </si>
  <si>
    <t>IRE-i5Nbed</t>
  </si>
  <si>
    <t>IRE-i5Nkit</t>
  </si>
  <si>
    <t>IRE-i5Nliv</t>
  </si>
  <si>
    <t>IRE-i5NC</t>
  </si>
  <si>
    <t xml:space="preserve">IRE-i5PU </t>
  </si>
  <si>
    <t xml:space="preserve">IRE-i5PUC </t>
  </si>
  <si>
    <t xml:space="preserve">IRE-i5PD </t>
  </si>
  <si>
    <t xml:space="preserve">IRE-i5PDC </t>
  </si>
  <si>
    <t xml:space="preserve">IRE-i5O </t>
  </si>
  <si>
    <t xml:space="preserve">IRE-i5OC </t>
  </si>
  <si>
    <t>IRE-i6Nbat</t>
  </si>
  <si>
    <t>IRE-i6Nbed</t>
  </si>
  <si>
    <t>IRE-i6Nkit</t>
  </si>
  <si>
    <t>IRE-i6Nliv</t>
  </si>
  <si>
    <t>IRE-i6NC</t>
  </si>
  <si>
    <t xml:space="preserve">IRE-i6PU </t>
  </si>
  <si>
    <t xml:space="preserve">IRE-i6PUC </t>
  </si>
  <si>
    <t xml:space="preserve">IRE-i6PD </t>
  </si>
  <si>
    <t xml:space="preserve">IRE-i6PDC </t>
  </si>
  <si>
    <t xml:space="preserve">IRE-i6O </t>
  </si>
  <si>
    <t>Which of the following items do you remember picking up in the bathroom?</t>
  </si>
  <si>
    <t>Which of the following items do you remember picking up in the bedroom?</t>
  </si>
  <si>
    <t>Which of the following items do you remember picking up in the kitchen?</t>
  </si>
  <si>
    <t>Which of the following items do you remember picking up in the living-room?</t>
  </si>
  <si>
    <t/>
  </si>
  <si>
    <t>2787</t>
  </si>
  <si>
    <t>2788</t>
  </si>
  <si>
    <t>2789</t>
  </si>
  <si>
    <t>2790</t>
  </si>
  <si>
    <t>2791</t>
  </si>
  <si>
    <t>3726</t>
  </si>
  <si>
    <t>3727</t>
  </si>
  <si>
    <t>3728</t>
  </si>
  <si>
    <t>3729</t>
  </si>
  <si>
    <t>3730</t>
  </si>
  <si>
    <t>2840</t>
  </si>
  <si>
    <t>2841</t>
  </si>
  <si>
    <t>2868</t>
  </si>
  <si>
    <t>2842</t>
  </si>
  <si>
    <t>2922</t>
  </si>
  <si>
    <t>2923</t>
  </si>
  <si>
    <t>3805</t>
  </si>
  <si>
    <t>3806</t>
  </si>
  <si>
    <t>3807</t>
  </si>
  <si>
    <t>3808</t>
  </si>
  <si>
    <t>3809</t>
  </si>
  <si>
    <t>3819</t>
  </si>
  <si>
    <t>3822</t>
  </si>
  <si>
    <t>3820</t>
  </si>
  <si>
    <t>3823</t>
  </si>
  <si>
    <t>3818</t>
  </si>
  <si>
    <t>3821</t>
  </si>
  <si>
    <t>3828</t>
  </si>
  <si>
    <t>3829</t>
  </si>
  <si>
    <t>3830</t>
  </si>
  <si>
    <t>3831</t>
  </si>
  <si>
    <t>3832</t>
  </si>
  <si>
    <t>3842</t>
  </si>
  <si>
    <t>3845</t>
  </si>
  <si>
    <t>3843</t>
  </si>
  <si>
    <t>3846</t>
  </si>
  <si>
    <t>3841</t>
  </si>
  <si>
    <t>3844</t>
  </si>
  <si>
    <t>3851</t>
  </si>
  <si>
    <t>3852</t>
  </si>
  <si>
    <t>3853</t>
  </si>
  <si>
    <t>3854</t>
  </si>
  <si>
    <t>3855</t>
  </si>
  <si>
    <t>3865</t>
  </si>
  <si>
    <t>3868</t>
  </si>
  <si>
    <t>3866</t>
  </si>
  <si>
    <t>3869</t>
  </si>
  <si>
    <t>3864</t>
  </si>
  <si>
    <t>3867</t>
  </si>
  <si>
    <t>3874</t>
  </si>
  <si>
    <t>3875</t>
  </si>
  <si>
    <t>3876</t>
  </si>
  <si>
    <t>3877</t>
  </si>
  <si>
    <t>3878</t>
  </si>
  <si>
    <t>3888</t>
  </si>
  <si>
    <t>3891</t>
  </si>
  <si>
    <t>3889</t>
  </si>
  <si>
    <t>3892</t>
  </si>
  <si>
    <t>3887</t>
  </si>
  <si>
    <t>3890</t>
  </si>
  <si>
    <t>3897</t>
  </si>
  <si>
    <t>3898</t>
  </si>
  <si>
    <t>3899</t>
  </si>
  <si>
    <t>3900</t>
  </si>
  <si>
    <t>3901</t>
  </si>
  <si>
    <t>3911</t>
  </si>
  <si>
    <t>3914</t>
  </si>
  <si>
    <t>3912</t>
  </si>
  <si>
    <t>3915</t>
  </si>
  <si>
    <t>3910</t>
  </si>
  <si>
    <t>3913</t>
  </si>
  <si>
    <t>IRE-I6oc</t>
  </si>
  <si>
    <t>Str-UserID</t>
  </si>
  <si>
    <t>Str-Date</t>
  </si>
  <si>
    <t>Str-Time</t>
  </si>
  <si>
    <t>Str-Counter</t>
  </si>
  <si>
    <t>Str-Room</t>
  </si>
  <si>
    <t>Str-Diff</t>
  </si>
  <si>
    <t>Str-Diff2</t>
  </si>
  <si>
    <t>Str-Help</t>
  </si>
  <si>
    <t>Str-How</t>
  </si>
  <si>
    <t>Str-Think</t>
  </si>
  <si>
    <t>Str-Think2</t>
  </si>
  <si>
    <t>Str-StratO</t>
  </si>
  <si>
    <t>Str-StratOtxt</t>
  </si>
  <si>
    <t>Str-StratI</t>
  </si>
  <si>
    <t>Str-StratItxt</t>
  </si>
  <si>
    <t>Str-Mne</t>
  </si>
  <si>
    <t>Str-Mne2</t>
  </si>
  <si>
    <t>Str-Mnetxt</t>
  </si>
  <si>
    <t>Str-Feedback</t>
  </si>
  <si>
    <t>[2088]</t>
  </si>
  <si>
    <t>[4421]</t>
  </si>
  <si>
    <t>[4422]</t>
  </si>
  <si>
    <t>[2087]</t>
  </si>
  <si>
    <t>[2086]</t>
  </si>
  <si>
    <t>[4403]</t>
  </si>
  <si>
    <t>[4408]</t>
  </si>
  <si>
    <t>[4415]</t>
  </si>
  <si>
    <t>[4417]</t>
  </si>
  <si>
    <t>[4418]</t>
  </si>
  <si>
    <t>[4419]</t>
  </si>
  <si>
    <t>[4404]</t>
  </si>
  <si>
    <t>[4405]</t>
  </si>
  <si>
    <t>[4406]</t>
  </si>
  <si>
    <t>[4407]</t>
  </si>
  <si>
    <t>[4409]</t>
  </si>
  <si>
    <t>[4410]</t>
  </si>
  <si>
    <t>[4411]</t>
  </si>
  <si>
    <t>[4413]</t>
  </si>
  <si>
    <t>2088</t>
  </si>
  <si>
    <t>4421</t>
  </si>
  <si>
    <t>4422</t>
  </si>
  <si>
    <t>2087</t>
  </si>
  <si>
    <t>2086</t>
  </si>
  <si>
    <t>4403</t>
  </si>
  <si>
    <t>4408</t>
  </si>
  <si>
    <t>4415</t>
  </si>
  <si>
    <t>4417</t>
  </si>
  <si>
    <t>4418</t>
  </si>
  <si>
    <t>4404</t>
  </si>
  <si>
    <t>4405</t>
  </si>
  <si>
    <t>4406</t>
  </si>
  <si>
    <t>4407</t>
  </si>
  <si>
    <t>4409</t>
  </si>
  <si>
    <t>4410</t>
  </si>
  <si>
    <t>4411</t>
  </si>
  <si>
    <t>4413</t>
  </si>
  <si>
    <t>How difficult was your REMEMVR test today?</t>
  </si>
  <si>
    <t>How difficult was today's test compared to your previous REMEMVR test?</t>
  </si>
  <si>
    <t>Did completing previous REMEMVR tests help you answer questions about the [user_meta key="c_room"]?</t>
  </si>
  <si>
    <t>Briefly describe how previous tests helped you answer questions about the [user_meta key="c_room"]</t>
  </si>
  <si>
    <t>How often have you thought about the [user_meta key="c_room"] since you saw it in virtual reality?</t>
  </si>
  <si>
    <t>When you thought about your virtual experience in the [user_meta key="c_room"], what kind of elements did you think about?</t>
  </si>
  <si>
    <t>Did you use any specific strategies or techniques to remember the furniture/fixtures in the [user_meta key="c_room"]?</t>
  </si>
  <si>
    <t>Describe your strategy here</t>
  </si>
  <si>
    <t>Did you use any specific strategies or techniques to remember the items and their locations in the [user_meta key="c_room"]?</t>
  </si>
  <si>
    <t>Were you aware of any mnemonic techniques (e.g., method of loci, visual imagery) before participating in this study?</t>
  </si>
  <si>
    <t>Did you consciously apply any of these mnemonic techniques during the REMEMVR test?</t>
  </si>
  <si>
    <t>Describe your technique here</t>
  </si>
  <si>
    <t>(Optional) Please provide any thoughts, comments, or suggestions related to REMEMVR that you would like to share with the research team.</t>
  </si>
  <si>
    <t>Key</t>
  </si>
  <si>
    <t>N</t>
  </si>
  <si>
    <t>L</t>
  </si>
  <si>
    <t>O</t>
  </si>
  <si>
    <t>o1</t>
  </si>
  <si>
    <t>Shower</t>
  </si>
  <si>
    <t>t1</t>
  </si>
  <si>
    <t>Identify</t>
  </si>
  <si>
    <t>o2</t>
  </si>
  <si>
    <t>Bathtub</t>
  </si>
  <si>
    <t>t2</t>
  </si>
  <si>
    <t>Count</t>
  </si>
  <si>
    <t>o3</t>
  </si>
  <si>
    <t>Sink</t>
  </si>
  <si>
    <t>t3</t>
  </si>
  <si>
    <t>Describe</t>
  </si>
  <si>
    <t>o4</t>
  </si>
  <si>
    <t>Toilet</t>
  </si>
  <si>
    <t>t4</t>
  </si>
  <si>
    <t>w</t>
  </si>
  <si>
    <t>tyre</t>
  </si>
  <si>
    <t>t5</t>
  </si>
  <si>
    <t>Strange</t>
  </si>
  <si>
    <t>port</t>
  </si>
  <si>
    <t>teen</t>
  </si>
  <si>
    <t>E</t>
  </si>
  <si>
    <t>t6</t>
  </si>
  <si>
    <t>Explore</t>
  </si>
  <si>
    <t>land</t>
  </si>
  <si>
    <t>beach</t>
  </si>
  <si>
    <t>time</t>
  </si>
  <si>
    <t>evening</t>
  </si>
  <si>
    <t>door</t>
  </si>
  <si>
    <t>weat</t>
  </si>
  <si>
    <t>clear</t>
  </si>
  <si>
    <t>wind</t>
  </si>
  <si>
    <t>B, C</t>
  </si>
  <si>
    <t>Wardrobe</t>
  </si>
  <si>
    <t>Bookshelf</t>
  </si>
  <si>
    <t>Dresser</t>
  </si>
  <si>
    <t>man</t>
  </si>
  <si>
    <t>desert</t>
  </si>
  <si>
    <t>morning</t>
  </si>
  <si>
    <t>rain</t>
  </si>
  <si>
    <t>Bench</t>
  </si>
  <si>
    <t>Pantry</t>
  </si>
  <si>
    <t>Fridge</t>
  </si>
  <si>
    <t>Oven</t>
  </si>
  <si>
    <t>lady</t>
  </si>
  <si>
    <t>forest</t>
  </si>
  <si>
    <t>midday</t>
  </si>
  <si>
    <t>cloudy</t>
  </si>
  <si>
    <t>B, E</t>
  </si>
  <si>
    <t>Living-room</t>
  </si>
  <si>
    <t>Couch</t>
  </si>
  <si>
    <t>TV Cabinet</t>
  </si>
  <si>
    <t>Armchair</t>
  </si>
  <si>
    <t>baby</t>
  </si>
  <si>
    <t>mountains</t>
  </si>
  <si>
    <t>night</t>
  </si>
  <si>
    <t>storm</t>
  </si>
  <si>
    <t>A01</t>
  </si>
  <si>
    <t>-</t>
  </si>
  <si>
    <t>Group</t>
  </si>
  <si>
    <t>Test</t>
  </si>
  <si>
    <t>IFR</t>
  </si>
  <si>
    <t>siA</t>
  </si>
  <si>
    <t>fo1</t>
  </si>
  <si>
    <t>Conf</t>
  </si>
  <si>
    <t>Item</t>
  </si>
  <si>
    <t>Order</t>
  </si>
  <si>
    <t>Start</t>
  </si>
  <si>
    <t>Finish</t>
  </si>
  <si>
    <t>G-PX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</si>
</sst>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FFFFFF"/>
      <name val="Inherit"/>
    </font>
    <font>
      <sz val="11"/>
      <color theme="0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3" fillId="4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13" xfId="0" applyBorder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textRotation="90"/>
    </xf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center" vertical="center" textRotation="90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54"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2E53-92C5-4282-BB27-2EBDA09360C1}">
  <dimension ref="B4:O45"/>
  <sheetViews>
    <sheetView workbookViewId="0">
      <selection activeCell="C85" sqref="C85"/>
    </sheetView>
  </sheetViews>
  <sheetFormatPr defaultRowHeight="14.5"/>
  <cols>
    <col min="2" max="2" width="10.90625" bestFit="1" customWidth="1"/>
    <col min="3" max="3" width="9.26953125" bestFit="1" customWidth="1"/>
    <col min="4" max="4" width="8.54296875" bestFit="1" customWidth="1"/>
    <col min="5" max="5" width="8.90625" customWidth="1"/>
    <col min="6" max="6" width="10" bestFit="1" customWidth="1"/>
    <col min="11" max="11" width="11.7265625" customWidth="1"/>
  </cols>
  <sheetData>
    <row r="4" spans="2:15">
      <c r="B4" s="2"/>
      <c r="C4" s="2"/>
      <c r="D4" s="2" t="s">
        <v>0</v>
      </c>
      <c r="E4" s="2" t="s">
        <v>1</v>
      </c>
      <c r="F4" s="2" t="s">
        <v>2</v>
      </c>
    </row>
    <row r="5" spans="2:15">
      <c r="B5" s="2" t="s">
        <v>3</v>
      </c>
      <c r="C5" s="2" t="s">
        <v>4</v>
      </c>
      <c r="D5" s="2">
        <v>12</v>
      </c>
      <c r="E5" s="2">
        <v>12</v>
      </c>
      <c r="F5" s="2">
        <v>2</v>
      </c>
      <c r="J5" t="s">
        <v>5</v>
      </c>
      <c r="K5" t="s">
        <v>7</v>
      </c>
    </row>
    <row r="6" spans="2:15">
      <c r="B6" s="2"/>
      <c r="C6" s="2" t="s">
        <v>5</v>
      </c>
      <c r="D6" s="2">
        <v>6</v>
      </c>
      <c r="E6" s="2">
        <v>12</v>
      </c>
      <c r="F6" s="2">
        <v>6</v>
      </c>
      <c r="K6" t="s">
        <v>8</v>
      </c>
    </row>
    <row r="7" spans="2:15">
      <c r="B7" s="2" t="s">
        <v>6</v>
      </c>
      <c r="C7" s="2" t="s">
        <v>4</v>
      </c>
      <c r="D7" s="2">
        <v>8</v>
      </c>
      <c r="E7" s="2">
        <v>0</v>
      </c>
      <c r="F7" s="2">
        <v>0</v>
      </c>
      <c r="K7" t="s">
        <v>9</v>
      </c>
    </row>
    <row r="8" spans="2:15">
      <c r="B8" s="2"/>
      <c r="C8" s="2" t="s">
        <v>5</v>
      </c>
      <c r="D8" s="2">
        <v>6</v>
      </c>
      <c r="E8" s="2">
        <v>12</v>
      </c>
      <c r="F8" s="2">
        <v>6</v>
      </c>
      <c r="K8" t="s">
        <v>10</v>
      </c>
    </row>
    <row r="10" spans="2:15">
      <c r="J10" s="2"/>
      <c r="K10" s="2"/>
      <c r="L10" s="2" t="s">
        <v>14</v>
      </c>
      <c r="M10" s="2" t="s">
        <v>1</v>
      </c>
      <c r="N10" s="2" t="s">
        <v>2</v>
      </c>
      <c r="O10" s="2"/>
    </row>
    <row r="11" spans="2:15">
      <c r="C11" s="2" t="s">
        <v>48</v>
      </c>
      <c r="D11" s="1" t="s">
        <v>49</v>
      </c>
      <c r="E11" s="1" t="s">
        <v>50</v>
      </c>
      <c r="F11" s="1" t="s">
        <v>51</v>
      </c>
      <c r="J11" s="2" t="s">
        <v>4</v>
      </c>
      <c r="K11" s="2" t="s">
        <v>16</v>
      </c>
      <c r="L11" s="2"/>
      <c r="M11" s="2"/>
      <c r="N11" s="2">
        <v>1</v>
      </c>
      <c r="O11" s="2"/>
    </row>
    <row r="12" spans="2:15">
      <c r="B12" t="s">
        <v>45</v>
      </c>
      <c r="C12" s="3" t="s">
        <v>52</v>
      </c>
      <c r="D12" s="3" t="s">
        <v>52</v>
      </c>
      <c r="E12" s="3" t="s">
        <v>52</v>
      </c>
      <c r="F12" s="3" t="s">
        <v>52</v>
      </c>
      <c r="J12" s="2"/>
      <c r="K12" s="2" t="s">
        <v>17</v>
      </c>
      <c r="L12" s="2"/>
      <c r="M12" s="2"/>
      <c r="N12" s="2">
        <v>1</v>
      </c>
      <c r="O12" s="2"/>
    </row>
    <row r="13" spans="2:15">
      <c r="B13" t="s">
        <v>45</v>
      </c>
      <c r="C13" s="3" t="s">
        <v>53</v>
      </c>
      <c r="D13" s="3" t="s">
        <v>54</v>
      </c>
      <c r="E13" s="3" t="s">
        <v>55</v>
      </c>
      <c r="F13" s="3" t="s">
        <v>56</v>
      </c>
      <c r="J13" s="2"/>
      <c r="K13" s="2" t="s">
        <v>18</v>
      </c>
      <c r="L13" s="2">
        <v>1</v>
      </c>
      <c r="M13" s="2"/>
      <c r="N13" s="2"/>
      <c r="O13" s="2"/>
    </row>
    <row r="14" spans="2:15">
      <c r="B14" t="s">
        <v>46</v>
      </c>
      <c r="F14" s="3" t="s">
        <v>57</v>
      </c>
      <c r="J14" s="2"/>
      <c r="K14" s="2" t="s">
        <v>19</v>
      </c>
      <c r="L14" s="2">
        <v>1</v>
      </c>
      <c r="M14" s="2"/>
      <c r="N14" s="2"/>
      <c r="O14" s="2"/>
    </row>
    <row r="15" spans="2:15">
      <c r="B15" t="s">
        <v>46</v>
      </c>
      <c r="F15" s="3" t="s">
        <v>58</v>
      </c>
      <c r="J15" s="2"/>
      <c r="K15" s="2" t="s">
        <v>20</v>
      </c>
      <c r="L15" s="2"/>
      <c r="M15" s="2">
        <v>1</v>
      </c>
      <c r="N15" s="2"/>
      <c r="O15" s="2"/>
    </row>
    <row r="16" spans="2:15">
      <c r="B16" t="s">
        <v>47</v>
      </c>
      <c r="F16" s="3"/>
      <c r="J16" s="2"/>
      <c r="K16" s="2" t="s">
        <v>21</v>
      </c>
      <c r="L16" s="2">
        <v>1</v>
      </c>
      <c r="M16" s="2"/>
      <c r="N16" s="2"/>
      <c r="O16" s="2"/>
    </row>
    <row r="17" spans="2:15">
      <c r="B17" t="s">
        <v>47</v>
      </c>
      <c r="F17" s="3"/>
      <c r="J17" s="2"/>
      <c r="K17" s="2" t="s">
        <v>22</v>
      </c>
      <c r="L17" s="2"/>
      <c r="M17" s="2">
        <v>1</v>
      </c>
      <c r="N17" s="2"/>
      <c r="O17" s="2"/>
    </row>
    <row r="18" spans="2:15">
      <c r="F18" s="3"/>
      <c r="J18" s="2"/>
      <c r="K18" s="2" t="s">
        <v>23</v>
      </c>
      <c r="L18" s="2">
        <v>1</v>
      </c>
      <c r="M18" s="2"/>
      <c r="N18" s="2"/>
      <c r="O18" s="2"/>
    </row>
    <row r="19" spans="2:15">
      <c r="J19" s="2"/>
      <c r="K19" s="2" t="s">
        <v>24</v>
      </c>
      <c r="L19" s="2"/>
      <c r="M19" s="2">
        <v>1</v>
      </c>
      <c r="N19" s="2"/>
      <c r="O19" s="2"/>
    </row>
    <row r="20" spans="2:15">
      <c r="J20" s="2"/>
      <c r="K20" s="2" t="s">
        <v>25</v>
      </c>
      <c r="L20" s="2">
        <v>1</v>
      </c>
      <c r="M20" s="2"/>
      <c r="N20" s="2"/>
      <c r="O20" s="2"/>
    </row>
    <row r="21" spans="2:15">
      <c r="J21" s="2"/>
      <c r="K21" s="2" t="s">
        <v>26</v>
      </c>
      <c r="L21" s="2"/>
      <c r="M21" s="2">
        <v>1</v>
      </c>
      <c r="N21" s="2"/>
      <c r="O21" s="2"/>
    </row>
    <row r="22" spans="2:15">
      <c r="J22" s="2"/>
      <c r="K22" s="2" t="s">
        <v>27</v>
      </c>
      <c r="L22" s="2">
        <v>1</v>
      </c>
      <c r="M22" s="2"/>
      <c r="N22" s="2"/>
      <c r="O22" s="2"/>
    </row>
    <row r="23" spans="2:15">
      <c r="J23" s="2"/>
      <c r="K23" s="2" t="s">
        <v>28</v>
      </c>
      <c r="L23" s="2"/>
      <c r="M23" s="2">
        <v>1</v>
      </c>
      <c r="N23" s="2"/>
      <c r="O23" s="2"/>
    </row>
    <row r="24" spans="2:15">
      <c r="J24" s="2"/>
      <c r="K24" s="2" t="s">
        <v>29</v>
      </c>
      <c r="L24" s="2">
        <v>1</v>
      </c>
      <c r="M24" s="2"/>
      <c r="N24" s="2"/>
      <c r="O24" s="2"/>
    </row>
    <row r="25" spans="2:15">
      <c r="J25" s="2"/>
      <c r="K25" s="2" t="s">
        <v>30</v>
      </c>
      <c r="L25" s="2"/>
      <c r="M25" s="2">
        <v>1</v>
      </c>
      <c r="N25" s="2"/>
      <c r="O25" s="2"/>
    </row>
    <row r="26" spans="2:15">
      <c r="J26" s="2"/>
      <c r="K26" s="2" t="s">
        <v>31</v>
      </c>
      <c r="L26" s="2">
        <v>1</v>
      </c>
      <c r="M26" s="2"/>
      <c r="N26" s="2"/>
      <c r="O26" s="2"/>
    </row>
    <row r="27" spans="2:15">
      <c r="J27" s="2"/>
      <c r="K27" s="2" t="s">
        <v>32</v>
      </c>
      <c r="L27" s="2"/>
      <c r="M27" s="2">
        <v>1</v>
      </c>
      <c r="N27" s="2"/>
      <c r="O27" s="2"/>
    </row>
    <row r="28" spans="2:15">
      <c r="J28" s="2"/>
      <c r="K28" s="2" t="s">
        <v>33</v>
      </c>
      <c r="L28" s="2">
        <v>1</v>
      </c>
      <c r="M28" s="2"/>
      <c r="N28" s="2"/>
      <c r="O28" s="2"/>
    </row>
    <row r="29" spans="2:15">
      <c r="J29" s="2"/>
      <c r="K29" s="2" t="s">
        <v>34</v>
      </c>
      <c r="L29" s="2"/>
      <c r="M29" s="2">
        <v>1</v>
      </c>
      <c r="N29" s="2"/>
      <c r="O29" s="2"/>
    </row>
    <row r="30" spans="2:15">
      <c r="J30" s="2"/>
      <c r="K30" s="2" t="s">
        <v>35</v>
      </c>
      <c r="L30" s="2">
        <v>1</v>
      </c>
      <c r="M30" s="2"/>
      <c r="N30" s="2"/>
      <c r="O30" s="2"/>
    </row>
    <row r="31" spans="2:15">
      <c r="J31" s="2"/>
      <c r="K31" s="2" t="s">
        <v>36</v>
      </c>
      <c r="L31" s="2"/>
      <c r="M31" s="2">
        <v>1</v>
      </c>
      <c r="N31" s="2"/>
      <c r="O31" s="2"/>
    </row>
    <row r="32" spans="2:15">
      <c r="J32" s="2"/>
      <c r="K32" s="2" t="s">
        <v>11</v>
      </c>
      <c r="L32" s="2">
        <v>1</v>
      </c>
      <c r="M32" s="2"/>
      <c r="N32" s="2"/>
      <c r="O32" s="2"/>
    </row>
    <row r="33" spans="10:15">
      <c r="J33" s="2"/>
      <c r="K33" s="2" t="s">
        <v>12</v>
      </c>
      <c r="L33" s="2">
        <v>1</v>
      </c>
      <c r="M33" s="2"/>
      <c r="N33" s="2"/>
      <c r="O33" s="2"/>
    </row>
    <row r="34" spans="10:15">
      <c r="J34" s="2"/>
      <c r="K34" s="2" t="s">
        <v>13</v>
      </c>
      <c r="L34" s="2"/>
      <c r="M34" s="2">
        <v>1</v>
      </c>
      <c r="N34" s="2"/>
      <c r="O34" s="2"/>
    </row>
    <row r="35" spans="10:15">
      <c r="J35" s="2"/>
      <c r="K35" s="2" t="s">
        <v>15</v>
      </c>
      <c r="L35" s="2"/>
      <c r="M35" s="2">
        <v>1</v>
      </c>
      <c r="N35" s="2"/>
      <c r="O35" s="2"/>
    </row>
    <row r="36" spans="10:15">
      <c r="J36" s="2"/>
      <c r="K36" s="2" t="s">
        <v>37</v>
      </c>
      <c r="L36" s="2"/>
      <c r="M36" s="2">
        <v>1</v>
      </c>
      <c r="N36" s="2"/>
      <c r="O36" s="2"/>
    </row>
    <row r="37" spans="10:15">
      <c r="J37" s="2"/>
      <c r="K37" s="2"/>
      <c r="L37" s="2"/>
      <c r="M37" s="2"/>
      <c r="N37" s="2"/>
      <c r="O37" s="2"/>
    </row>
    <row r="38" spans="10:15">
      <c r="J38" s="2"/>
      <c r="K38" s="2" t="s">
        <v>38</v>
      </c>
      <c r="L38" s="2">
        <v>1</v>
      </c>
      <c r="M38" s="2"/>
      <c r="N38" s="2"/>
      <c r="O38" s="2"/>
    </row>
    <row r="39" spans="10:15">
      <c r="J39" s="2"/>
      <c r="K39" s="2" t="s">
        <v>39</v>
      </c>
      <c r="L39" s="2">
        <v>1</v>
      </c>
      <c r="M39" s="2"/>
      <c r="N39" s="2"/>
      <c r="O39" s="2"/>
    </row>
    <row r="40" spans="10:15">
      <c r="J40" s="2"/>
      <c r="K40" s="2" t="s">
        <v>40</v>
      </c>
      <c r="L40" s="2">
        <v>1</v>
      </c>
      <c r="M40" s="2"/>
      <c r="N40" s="2"/>
      <c r="O40" s="2"/>
    </row>
    <row r="41" spans="10:15">
      <c r="J41" s="2"/>
      <c r="K41" s="2" t="s">
        <v>41</v>
      </c>
      <c r="L41" s="2">
        <v>1</v>
      </c>
      <c r="M41" s="2"/>
      <c r="N41" s="2"/>
      <c r="O41" s="2"/>
    </row>
    <row r="42" spans="10:15">
      <c r="J42" s="2"/>
      <c r="K42" s="2" t="s">
        <v>42</v>
      </c>
      <c r="L42" s="2">
        <v>1</v>
      </c>
      <c r="M42" s="2"/>
      <c r="N42" s="2"/>
      <c r="O42" s="2"/>
    </row>
    <row r="43" spans="10:15">
      <c r="J43" s="2"/>
      <c r="K43" s="2" t="s">
        <v>43</v>
      </c>
      <c r="L43" s="2">
        <v>1</v>
      </c>
      <c r="M43" s="2"/>
      <c r="N43" s="2"/>
      <c r="O43" s="2"/>
    </row>
    <row r="44" spans="10:15">
      <c r="J44" s="2"/>
      <c r="K44" s="2" t="s">
        <v>44</v>
      </c>
      <c r="L44" s="2">
        <v>1</v>
      </c>
      <c r="M44" s="2"/>
      <c r="N44" s="2"/>
      <c r="O44" s="2"/>
    </row>
    <row r="45" spans="10:15">
      <c r="J45" s="2"/>
      <c r="K45" s="2"/>
      <c r="L45" s="2"/>
      <c r="M45" s="2"/>
      <c r="N45" s="2"/>
      <c r="O4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9D3C-7763-4632-948A-091F988D57F1}">
  <dimension ref="A1:W74"/>
  <sheetViews>
    <sheetView zoomScaleNormal="100" workbookViewId="0">
      <selection activeCell="W4" activeCellId="2" sqref="S4:S9 U4:U9 W4:W9"/>
    </sheetView>
  </sheetViews>
  <sheetFormatPr defaultRowHeight="14.5"/>
  <cols>
    <col min="1" max="1" width="11.1796875" style="3" bestFit="1" customWidth="1"/>
    <col min="2" max="2" width="10.08984375" style="3" bestFit="1" customWidth="1"/>
    <col min="3" max="3" width="5.26953125" style="3" customWidth="1"/>
    <col min="4" max="4" width="12.81640625" style="3" bestFit="1" customWidth="1"/>
    <col min="5" max="5" width="4.36328125" style="3" bestFit="1" customWidth="1"/>
    <col min="6" max="6" width="3.26953125" style="3" bestFit="1" customWidth="1"/>
    <col min="7" max="7" width="4.36328125" style="3" bestFit="1" customWidth="1"/>
    <col min="8" max="8" width="3.26953125" style="3" customWidth="1"/>
    <col min="9" max="9" width="12.81640625" style="3" bestFit="1" customWidth="1"/>
    <col min="10" max="10" width="7.90625" style="3" bestFit="1" customWidth="1"/>
    <col min="11" max="11" width="3.453125" style="3" customWidth="1"/>
    <col min="12" max="12" width="4.36328125" style="3" bestFit="1" customWidth="1"/>
    <col min="13" max="13" width="3.26953125" style="3" bestFit="1" customWidth="1"/>
    <col min="14" max="14" width="11.1796875" style="3" bestFit="1" customWidth="1"/>
    <col min="15" max="15" width="4.36328125" style="3" bestFit="1" customWidth="1"/>
    <col min="16" max="16" width="3.26953125" style="3" bestFit="1" customWidth="1"/>
    <col min="17" max="17" width="4.36328125" style="3" bestFit="1" customWidth="1"/>
    <col min="18" max="18" width="3.26953125" style="3" bestFit="1" customWidth="1"/>
    <col min="19" max="19" width="10.6328125" style="3" bestFit="1" customWidth="1"/>
    <col min="20" max="20" width="4.36328125" style="3" bestFit="1" customWidth="1"/>
    <col min="21" max="21" width="3.26953125" style="3" bestFit="1" customWidth="1"/>
    <col min="22" max="22" width="4.36328125" style="3" bestFit="1" customWidth="1"/>
    <col min="23" max="24" width="3.26953125" style="3" bestFit="1" customWidth="1"/>
    <col min="25" max="27" width="3.453125" style="3" customWidth="1"/>
    <col min="28" max="28" width="3.26953125" style="3" bestFit="1" customWidth="1"/>
    <col min="29" max="29" width="3.26953125" style="3" customWidth="1"/>
    <col min="30" max="31" width="3.26953125" style="3" bestFit="1" customWidth="1"/>
    <col min="32" max="16384" width="8.7265625" style="3"/>
  </cols>
  <sheetData>
    <row r="1" spans="1:23">
      <c r="C1" s="2"/>
      <c r="D1" s="2"/>
      <c r="I1" s="2"/>
      <c r="N1" s="2"/>
    </row>
    <row r="3" spans="1:23" ht="15" thickBot="1">
      <c r="A3" s="2" t="s">
        <v>84</v>
      </c>
      <c r="B3" s="2" t="s">
        <v>83</v>
      </c>
      <c r="C3" s="2" t="s">
        <v>85</v>
      </c>
      <c r="D3" s="2" t="s">
        <v>48</v>
      </c>
      <c r="E3" s="3" t="s">
        <v>101</v>
      </c>
      <c r="F3" s="3" t="s">
        <v>101</v>
      </c>
      <c r="G3" s="3" t="s">
        <v>102</v>
      </c>
      <c r="H3" s="3" t="s">
        <v>102</v>
      </c>
      <c r="I3" s="2" t="s">
        <v>49</v>
      </c>
      <c r="J3" s="3" t="s">
        <v>101</v>
      </c>
      <c r="K3" s="3" t="s">
        <v>101</v>
      </c>
      <c r="L3" s="3" t="s">
        <v>102</v>
      </c>
      <c r="M3" s="3" t="s">
        <v>102</v>
      </c>
      <c r="N3" s="2" t="s">
        <v>50</v>
      </c>
      <c r="O3" s="3" t="s">
        <v>101</v>
      </c>
      <c r="P3" s="3" t="s">
        <v>101</v>
      </c>
      <c r="Q3" s="3" t="s">
        <v>102</v>
      </c>
      <c r="R3" s="3" t="s">
        <v>102</v>
      </c>
      <c r="S3" s="2" t="s">
        <v>51</v>
      </c>
      <c r="T3" s="3" t="s">
        <v>101</v>
      </c>
      <c r="U3" s="3" t="s">
        <v>101</v>
      </c>
      <c r="V3" s="3" t="s">
        <v>102</v>
      </c>
      <c r="W3" s="3" t="s">
        <v>102</v>
      </c>
    </row>
    <row r="4" spans="1:23" ht="15" thickTop="1">
      <c r="A4" s="3" t="s">
        <v>45</v>
      </c>
      <c r="B4" s="3" t="s">
        <v>69</v>
      </c>
      <c r="C4" s="3" t="s">
        <v>86</v>
      </c>
      <c r="D4" s="20" t="s">
        <v>52</v>
      </c>
      <c r="E4" s="14" t="s">
        <v>110</v>
      </c>
      <c r="F4" s="7" t="s">
        <v>107</v>
      </c>
      <c r="G4" s="15" t="s">
        <v>109</v>
      </c>
      <c r="H4" s="8">
        <v>3</v>
      </c>
      <c r="I4" s="20" t="s">
        <v>59</v>
      </c>
      <c r="J4" s="14" t="s">
        <v>110</v>
      </c>
      <c r="K4" s="7" t="s">
        <v>107</v>
      </c>
      <c r="L4" s="15" t="s">
        <v>110</v>
      </c>
      <c r="M4" s="8" t="s">
        <v>112</v>
      </c>
      <c r="N4" s="20" t="s">
        <v>61</v>
      </c>
      <c r="O4" s="14" t="s">
        <v>109</v>
      </c>
      <c r="P4" s="7">
        <v>2</v>
      </c>
      <c r="Q4" s="15" t="s">
        <v>110</v>
      </c>
      <c r="R4" s="8" t="s">
        <v>107</v>
      </c>
      <c r="S4" s="20" t="s">
        <v>60</v>
      </c>
      <c r="T4" s="14" t="s">
        <v>109</v>
      </c>
      <c r="U4" s="7">
        <v>3</v>
      </c>
      <c r="V4" s="15" t="s">
        <v>110</v>
      </c>
      <c r="W4" s="8" t="s">
        <v>107</v>
      </c>
    </row>
    <row r="5" spans="1:23">
      <c r="A5" s="3" t="s">
        <v>45</v>
      </c>
      <c r="B5" s="3" t="s">
        <v>70</v>
      </c>
      <c r="C5" s="3" t="s">
        <v>87</v>
      </c>
      <c r="D5" s="20" t="s">
        <v>53</v>
      </c>
      <c r="E5" s="17" t="s">
        <v>109</v>
      </c>
      <c r="F5" s="3">
        <v>1</v>
      </c>
      <c r="G5" s="16" t="s">
        <v>110</v>
      </c>
      <c r="H5" s="10" t="s">
        <v>108</v>
      </c>
      <c r="I5" s="20" t="s">
        <v>54</v>
      </c>
      <c r="J5" s="17" t="s">
        <v>109</v>
      </c>
      <c r="K5" s="3">
        <v>4</v>
      </c>
      <c r="L5" s="16" t="s">
        <v>109</v>
      </c>
      <c r="M5" s="10">
        <v>2</v>
      </c>
      <c r="N5" s="20" t="s">
        <v>55</v>
      </c>
      <c r="O5" s="17" t="s">
        <v>110</v>
      </c>
      <c r="P5" s="3" t="s">
        <v>112</v>
      </c>
      <c r="Q5" s="16" t="s">
        <v>110</v>
      </c>
      <c r="R5" s="10" t="s">
        <v>111</v>
      </c>
      <c r="S5" s="20" t="s">
        <v>68</v>
      </c>
      <c r="T5" s="17" t="s">
        <v>110</v>
      </c>
      <c r="U5" s="3" t="s">
        <v>108</v>
      </c>
      <c r="V5" s="16" t="s">
        <v>109</v>
      </c>
      <c r="W5" s="10">
        <v>2</v>
      </c>
    </row>
    <row r="6" spans="1:23">
      <c r="A6" s="3" t="s">
        <v>46</v>
      </c>
      <c r="B6" s="3" t="s">
        <v>71</v>
      </c>
      <c r="C6" s="3" t="s">
        <v>88</v>
      </c>
      <c r="D6" s="21" t="s">
        <v>79</v>
      </c>
      <c r="E6" s="17" t="s">
        <v>110</v>
      </c>
      <c r="F6" s="3" t="s">
        <v>111</v>
      </c>
      <c r="G6" s="16" t="s">
        <v>110</v>
      </c>
      <c r="H6" s="10" t="s">
        <v>112</v>
      </c>
      <c r="I6" s="21" t="s">
        <v>81</v>
      </c>
      <c r="J6" s="17" t="s">
        <v>109</v>
      </c>
      <c r="K6" s="3">
        <v>1</v>
      </c>
      <c r="L6" s="16" t="s">
        <v>110</v>
      </c>
      <c r="M6" s="10" t="s">
        <v>107</v>
      </c>
      <c r="N6" s="21" t="s">
        <v>121</v>
      </c>
      <c r="O6" s="17" t="s">
        <v>110</v>
      </c>
      <c r="P6" s="3" t="s">
        <v>108</v>
      </c>
      <c r="Q6" s="16" t="s">
        <v>109</v>
      </c>
      <c r="R6" s="10">
        <v>2</v>
      </c>
      <c r="S6" s="21" t="s">
        <v>65</v>
      </c>
      <c r="T6" s="17" t="s">
        <v>109</v>
      </c>
      <c r="U6" s="3">
        <v>2</v>
      </c>
      <c r="V6" s="16" t="s">
        <v>110</v>
      </c>
      <c r="W6" s="10" t="s">
        <v>112</v>
      </c>
    </row>
    <row r="7" spans="1:23">
      <c r="A7" s="3" t="s">
        <v>46</v>
      </c>
      <c r="B7" s="3" t="s">
        <v>72</v>
      </c>
      <c r="C7" s="3" t="s">
        <v>89</v>
      </c>
      <c r="D7" s="21" t="s">
        <v>67</v>
      </c>
      <c r="E7" s="17" t="s">
        <v>109</v>
      </c>
      <c r="F7" s="3">
        <v>3</v>
      </c>
      <c r="G7" s="16" t="s">
        <v>109</v>
      </c>
      <c r="H7" s="10">
        <v>4</v>
      </c>
      <c r="I7" s="21" t="s">
        <v>80</v>
      </c>
      <c r="J7" s="17" t="s">
        <v>110</v>
      </c>
      <c r="K7" s="3" t="s">
        <v>112</v>
      </c>
      <c r="L7" s="16" t="s">
        <v>109</v>
      </c>
      <c r="M7" s="10">
        <v>4</v>
      </c>
      <c r="N7" s="21" t="s">
        <v>62</v>
      </c>
      <c r="O7" s="17" t="s">
        <v>109</v>
      </c>
      <c r="P7" s="3">
        <v>4</v>
      </c>
      <c r="Q7" s="16" t="s">
        <v>110</v>
      </c>
      <c r="R7" s="10" t="s">
        <v>108</v>
      </c>
      <c r="S7" s="21" t="s">
        <v>57</v>
      </c>
      <c r="T7" s="17" t="s">
        <v>110</v>
      </c>
      <c r="U7" s="3" t="s">
        <v>107</v>
      </c>
      <c r="V7" s="16" t="s">
        <v>110</v>
      </c>
      <c r="W7" s="10" t="s">
        <v>108</v>
      </c>
    </row>
    <row r="8" spans="1:23">
      <c r="A8" s="3" t="s">
        <v>47</v>
      </c>
      <c r="B8" s="3" t="s">
        <v>75</v>
      </c>
      <c r="C8" s="3" t="s">
        <v>90</v>
      </c>
      <c r="D8" s="22" t="s">
        <v>74</v>
      </c>
      <c r="E8" s="17" t="s">
        <v>110</v>
      </c>
      <c r="F8" s="3" t="s">
        <v>108</v>
      </c>
      <c r="G8" s="16" t="s">
        <v>110</v>
      </c>
      <c r="H8" s="10" t="s">
        <v>107</v>
      </c>
      <c r="I8" s="22" t="s">
        <v>76</v>
      </c>
      <c r="J8" s="17" t="s">
        <v>109</v>
      </c>
      <c r="K8" s="3">
        <v>3</v>
      </c>
      <c r="L8" s="16" t="s">
        <v>110</v>
      </c>
      <c r="M8" s="10" t="s">
        <v>111</v>
      </c>
      <c r="N8" s="22" t="s">
        <v>77</v>
      </c>
      <c r="O8" s="17" t="s">
        <v>109</v>
      </c>
      <c r="P8" s="3">
        <v>1</v>
      </c>
      <c r="Q8" s="16" t="s">
        <v>109</v>
      </c>
      <c r="R8" s="10">
        <v>3</v>
      </c>
      <c r="S8" s="22" t="s">
        <v>78</v>
      </c>
      <c r="T8" s="17" t="s">
        <v>110</v>
      </c>
      <c r="U8" s="3" t="s">
        <v>112</v>
      </c>
      <c r="V8" s="16" t="s">
        <v>110</v>
      </c>
      <c r="W8" s="10" t="s">
        <v>111</v>
      </c>
    </row>
    <row r="9" spans="1:23" ht="15" thickBot="1">
      <c r="A9" s="3" t="s">
        <v>47</v>
      </c>
      <c r="B9" s="3" t="s">
        <v>73</v>
      </c>
      <c r="C9" s="3" t="s">
        <v>91</v>
      </c>
      <c r="D9" s="24" t="s">
        <v>58</v>
      </c>
      <c r="E9" s="18" t="s">
        <v>109</v>
      </c>
      <c r="F9" s="12">
        <v>2</v>
      </c>
      <c r="G9" s="19" t="s">
        <v>110</v>
      </c>
      <c r="H9" s="13" t="s">
        <v>111</v>
      </c>
      <c r="I9" s="24" t="s">
        <v>63</v>
      </c>
      <c r="J9" s="18" t="s">
        <v>110</v>
      </c>
      <c r="K9" s="12" t="s">
        <v>111</v>
      </c>
      <c r="L9" s="19" t="s">
        <v>110</v>
      </c>
      <c r="M9" s="13" t="s">
        <v>108</v>
      </c>
      <c r="N9" s="24" t="s">
        <v>66</v>
      </c>
      <c r="O9" s="18" t="s">
        <v>110</v>
      </c>
      <c r="P9" s="12" t="s">
        <v>111</v>
      </c>
      <c r="Q9" s="19" t="s">
        <v>110</v>
      </c>
      <c r="R9" s="13" t="s">
        <v>112</v>
      </c>
      <c r="S9" s="24" t="s">
        <v>82</v>
      </c>
      <c r="T9" s="18" t="s">
        <v>109</v>
      </c>
      <c r="U9" s="12">
        <v>4</v>
      </c>
      <c r="V9" s="19" t="s">
        <v>109</v>
      </c>
      <c r="W9" s="13">
        <v>1</v>
      </c>
    </row>
    <row r="10" spans="1:23" ht="15" thickTop="1"/>
    <row r="11" spans="1:23">
      <c r="C11" s="3" t="s">
        <v>92</v>
      </c>
      <c r="D11" s="3" t="s">
        <v>95</v>
      </c>
      <c r="I11" s="3" t="s">
        <v>97</v>
      </c>
      <c r="N11" s="3" t="s">
        <v>94</v>
      </c>
      <c r="S11" s="3" t="s">
        <v>100</v>
      </c>
    </row>
    <row r="12" spans="1:23">
      <c r="C12" s="3" t="s">
        <v>93</v>
      </c>
      <c r="D12" s="3" t="s">
        <v>96</v>
      </c>
      <c r="I12" s="3" t="s">
        <v>99</v>
      </c>
      <c r="N12" s="3" t="s">
        <v>64</v>
      </c>
      <c r="S12" s="3" t="s">
        <v>98</v>
      </c>
    </row>
    <row r="19" spans="4:23" ht="15" thickBot="1">
      <c r="D19" s="2" t="s">
        <v>48</v>
      </c>
      <c r="E19" s="3" t="s">
        <v>101</v>
      </c>
      <c r="F19" s="3" t="s">
        <v>101</v>
      </c>
      <c r="G19" s="3" t="s">
        <v>102</v>
      </c>
      <c r="H19" s="3" t="s">
        <v>102</v>
      </c>
      <c r="I19" s="2" t="s">
        <v>49</v>
      </c>
      <c r="J19" s="3" t="s">
        <v>101</v>
      </c>
      <c r="K19" s="3" t="s">
        <v>101</v>
      </c>
      <c r="L19" s="3" t="s">
        <v>102</v>
      </c>
      <c r="M19" s="3" t="s">
        <v>102</v>
      </c>
      <c r="N19" s="2" t="s">
        <v>50</v>
      </c>
      <c r="O19" s="3" t="s">
        <v>101</v>
      </c>
      <c r="P19" s="3" t="s">
        <v>101</v>
      </c>
      <c r="Q19" s="3" t="s">
        <v>102</v>
      </c>
      <c r="R19" s="3" t="s">
        <v>102</v>
      </c>
      <c r="S19" s="2" t="s">
        <v>51</v>
      </c>
      <c r="T19" s="3" t="s">
        <v>101</v>
      </c>
      <c r="U19" s="3" t="s">
        <v>101</v>
      </c>
      <c r="V19" s="3" t="s">
        <v>102</v>
      </c>
      <c r="W19" s="3" t="s">
        <v>102</v>
      </c>
    </row>
    <row r="20" spans="4:23" ht="15" thickTop="1">
      <c r="D20" s="20" t="s">
        <v>52</v>
      </c>
      <c r="E20" s="14" t="s">
        <v>110</v>
      </c>
      <c r="F20" s="7" t="s">
        <v>107</v>
      </c>
      <c r="G20" s="15" t="s">
        <v>109</v>
      </c>
      <c r="H20" s="8">
        <v>3</v>
      </c>
      <c r="I20" s="20" t="s">
        <v>59</v>
      </c>
      <c r="J20" s="14" t="s">
        <v>110</v>
      </c>
      <c r="K20" s="7" t="s">
        <v>107</v>
      </c>
      <c r="L20" s="15" t="s">
        <v>110</v>
      </c>
      <c r="M20" s="8" t="s">
        <v>112</v>
      </c>
      <c r="N20" s="20" t="s">
        <v>61</v>
      </c>
      <c r="O20" s="14" t="s">
        <v>109</v>
      </c>
      <c r="P20" s="7">
        <v>2</v>
      </c>
      <c r="Q20" s="15" t="s">
        <v>110</v>
      </c>
      <c r="R20" s="8" t="s">
        <v>107</v>
      </c>
      <c r="S20" s="20" t="s">
        <v>60</v>
      </c>
      <c r="T20" s="14" t="s">
        <v>109</v>
      </c>
      <c r="U20" s="7">
        <v>3</v>
      </c>
      <c r="V20" s="15" t="s">
        <v>110</v>
      </c>
      <c r="W20" s="8" t="s">
        <v>107</v>
      </c>
    </row>
    <row r="21" spans="4:23">
      <c r="D21" s="20" t="s">
        <v>53</v>
      </c>
      <c r="E21" s="17" t="s">
        <v>109</v>
      </c>
      <c r="F21" s="3">
        <v>1</v>
      </c>
      <c r="G21" s="16" t="s">
        <v>110</v>
      </c>
      <c r="H21" s="10" t="s">
        <v>108</v>
      </c>
      <c r="I21" s="20" t="s">
        <v>54</v>
      </c>
      <c r="J21" s="17" t="s">
        <v>109</v>
      </c>
      <c r="K21" s="3">
        <v>4</v>
      </c>
      <c r="L21" s="16" t="s">
        <v>109</v>
      </c>
      <c r="M21" s="10">
        <v>2</v>
      </c>
      <c r="N21" s="20" t="s">
        <v>55</v>
      </c>
      <c r="O21" s="17" t="s">
        <v>110</v>
      </c>
      <c r="P21" s="3" t="s">
        <v>112</v>
      </c>
      <c r="Q21" s="16" t="s">
        <v>110</v>
      </c>
      <c r="R21" s="10" t="s">
        <v>111</v>
      </c>
      <c r="S21" s="20" t="s">
        <v>68</v>
      </c>
      <c r="T21" s="17" t="s">
        <v>110</v>
      </c>
      <c r="U21" s="3" t="s">
        <v>108</v>
      </c>
      <c r="V21" s="16" t="s">
        <v>109</v>
      </c>
      <c r="W21" s="10">
        <v>2</v>
      </c>
    </row>
    <row r="22" spans="4:23">
      <c r="D22" s="21" t="s">
        <v>79</v>
      </c>
      <c r="E22" s="17" t="s">
        <v>110</v>
      </c>
      <c r="F22" s="3" t="s">
        <v>111</v>
      </c>
      <c r="G22" s="16" t="s">
        <v>110</v>
      </c>
      <c r="H22" s="10" t="s">
        <v>112</v>
      </c>
      <c r="I22" s="21" t="s">
        <v>81</v>
      </c>
      <c r="J22" s="17" t="s">
        <v>109</v>
      </c>
      <c r="K22" s="3">
        <v>1</v>
      </c>
      <c r="L22" s="16" t="s">
        <v>110</v>
      </c>
      <c r="M22" s="10" t="s">
        <v>107</v>
      </c>
      <c r="N22" s="21" t="s">
        <v>121</v>
      </c>
      <c r="O22" s="17" t="s">
        <v>110</v>
      </c>
      <c r="P22" s="3" t="s">
        <v>108</v>
      </c>
      <c r="Q22" s="16" t="s">
        <v>109</v>
      </c>
      <c r="R22" s="10">
        <v>2</v>
      </c>
      <c r="S22" s="21" t="s">
        <v>65</v>
      </c>
      <c r="T22" s="17" t="s">
        <v>109</v>
      </c>
      <c r="U22" s="3">
        <v>2</v>
      </c>
      <c r="V22" s="16" t="s">
        <v>110</v>
      </c>
      <c r="W22" s="10" t="s">
        <v>112</v>
      </c>
    </row>
    <row r="23" spans="4:23">
      <c r="D23" s="21" t="s">
        <v>67</v>
      </c>
      <c r="E23" s="17" t="s">
        <v>109</v>
      </c>
      <c r="F23" s="3">
        <v>3</v>
      </c>
      <c r="G23" s="16" t="s">
        <v>109</v>
      </c>
      <c r="H23" s="10">
        <v>4</v>
      </c>
      <c r="I23" s="21" t="s">
        <v>80</v>
      </c>
      <c r="J23" s="17" t="s">
        <v>110</v>
      </c>
      <c r="K23" s="3" t="s">
        <v>112</v>
      </c>
      <c r="L23" s="16" t="s">
        <v>109</v>
      </c>
      <c r="M23" s="10">
        <v>4</v>
      </c>
      <c r="N23" s="21" t="s">
        <v>62</v>
      </c>
      <c r="O23" s="17" t="s">
        <v>109</v>
      </c>
      <c r="P23" s="3">
        <v>4</v>
      </c>
      <c r="Q23" s="16" t="s">
        <v>110</v>
      </c>
      <c r="R23" s="10" t="s">
        <v>108</v>
      </c>
      <c r="S23" s="21" t="s">
        <v>57</v>
      </c>
      <c r="T23" s="17" t="s">
        <v>110</v>
      </c>
      <c r="U23" s="3" t="s">
        <v>107</v>
      </c>
      <c r="V23" s="16" t="s">
        <v>110</v>
      </c>
      <c r="W23" s="10" t="s">
        <v>108</v>
      </c>
    </row>
    <row r="24" spans="4:23">
      <c r="D24" s="22" t="s">
        <v>74</v>
      </c>
      <c r="E24" s="17" t="s">
        <v>110</v>
      </c>
      <c r="F24" s="3" t="s">
        <v>108</v>
      </c>
      <c r="G24" s="16" t="s">
        <v>110</v>
      </c>
      <c r="H24" s="10" t="s">
        <v>107</v>
      </c>
      <c r="I24" s="22" t="s">
        <v>76</v>
      </c>
      <c r="J24" s="17" t="s">
        <v>109</v>
      </c>
      <c r="K24" s="3">
        <v>3</v>
      </c>
      <c r="L24" s="16" t="s">
        <v>110</v>
      </c>
      <c r="M24" s="10" t="s">
        <v>111</v>
      </c>
      <c r="N24" s="22" t="s">
        <v>77</v>
      </c>
      <c r="O24" s="17" t="s">
        <v>109</v>
      </c>
      <c r="P24" s="3">
        <v>1</v>
      </c>
      <c r="Q24" s="16" t="s">
        <v>109</v>
      </c>
      <c r="R24" s="10">
        <v>3</v>
      </c>
      <c r="S24" s="22" t="s">
        <v>78</v>
      </c>
      <c r="T24" s="17" t="s">
        <v>110</v>
      </c>
      <c r="U24" s="3" t="s">
        <v>112</v>
      </c>
      <c r="V24" s="16" t="s">
        <v>110</v>
      </c>
      <c r="W24" s="10" t="s">
        <v>111</v>
      </c>
    </row>
    <row r="25" spans="4:23" ht="15" thickBot="1">
      <c r="D25" s="24" t="s">
        <v>58</v>
      </c>
      <c r="E25" s="18" t="s">
        <v>109</v>
      </c>
      <c r="F25" s="12">
        <v>2</v>
      </c>
      <c r="G25" s="19" t="s">
        <v>110</v>
      </c>
      <c r="H25" s="13" t="s">
        <v>111</v>
      </c>
      <c r="I25" s="24" t="s">
        <v>63</v>
      </c>
      <c r="J25" s="18" t="s">
        <v>110</v>
      </c>
      <c r="K25" s="12" t="s">
        <v>111</v>
      </c>
      <c r="L25" s="19" t="s">
        <v>110</v>
      </c>
      <c r="M25" s="13" t="s">
        <v>108</v>
      </c>
      <c r="N25" s="24" t="s">
        <v>66</v>
      </c>
      <c r="O25" s="18" t="s">
        <v>110</v>
      </c>
      <c r="P25" s="12" t="s">
        <v>111</v>
      </c>
      <c r="Q25" s="19" t="s">
        <v>110</v>
      </c>
      <c r="R25" s="13" t="s">
        <v>112</v>
      </c>
      <c r="S25" s="24" t="s">
        <v>82</v>
      </c>
      <c r="T25" s="18" t="s">
        <v>109</v>
      </c>
      <c r="U25" s="12">
        <v>4</v>
      </c>
      <c r="V25" s="19" t="s">
        <v>109</v>
      </c>
      <c r="W25" s="13">
        <v>1</v>
      </c>
    </row>
    <row r="26" spans="4:23" ht="15" thickTop="1"/>
    <row r="28" spans="4:23">
      <c r="E28" s="3" t="s">
        <v>88</v>
      </c>
      <c r="F28" s="3" t="s">
        <v>116</v>
      </c>
      <c r="J28" s="3" t="s">
        <v>89</v>
      </c>
      <c r="K28" s="3" t="s">
        <v>118</v>
      </c>
      <c r="O28" s="3" t="s">
        <v>86</v>
      </c>
      <c r="P28" s="3" t="s">
        <v>117</v>
      </c>
      <c r="T28" s="3" t="s">
        <v>90</v>
      </c>
      <c r="U28" s="3" t="s">
        <v>116</v>
      </c>
    </row>
    <row r="29" spans="4:23">
      <c r="E29" s="3" t="s">
        <v>91</v>
      </c>
      <c r="F29" s="3" t="s">
        <v>117</v>
      </c>
      <c r="J29" s="3" t="s">
        <v>86</v>
      </c>
      <c r="K29" s="3" t="s">
        <v>116</v>
      </c>
      <c r="O29" s="3" t="s">
        <v>88</v>
      </c>
      <c r="P29" s="3" t="s">
        <v>119</v>
      </c>
      <c r="T29" s="3" t="s">
        <v>91</v>
      </c>
      <c r="U29" s="3" t="s">
        <v>118</v>
      </c>
    </row>
    <row r="30" spans="4:23">
      <c r="E30" s="3" t="s">
        <v>89</v>
      </c>
      <c r="F30" s="3" t="s">
        <v>118</v>
      </c>
      <c r="J30" s="3" t="s">
        <v>88</v>
      </c>
      <c r="K30" s="3" t="s">
        <v>117</v>
      </c>
      <c r="O30" s="3" t="s">
        <v>89</v>
      </c>
      <c r="P30" s="3" t="s">
        <v>117</v>
      </c>
      <c r="T30" s="3" t="s">
        <v>88</v>
      </c>
      <c r="U30" s="3" t="s">
        <v>117</v>
      </c>
    </row>
    <row r="31" spans="4:23">
      <c r="E31" s="3" t="s">
        <v>86</v>
      </c>
      <c r="F31" s="3" t="s">
        <v>119</v>
      </c>
      <c r="J31" s="3" t="s">
        <v>91</v>
      </c>
      <c r="K31" s="3" t="s">
        <v>116</v>
      </c>
      <c r="O31" s="3" t="s">
        <v>90</v>
      </c>
      <c r="P31" s="3" t="s">
        <v>118</v>
      </c>
      <c r="T31" s="3" t="s">
        <v>87</v>
      </c>
      <c r="U31" s="3" t="s">
        <v>119</v>
      </c>
    </row>
    <row r="32" spans="4:23">
      <c r="E32" s="3" t="s">
        <v>90</v>
      </c>
      <c r="F32" s="3" t="s">
        <v>116</v>
      </c>
      <c r="J32" s="3" t="s">
        <v>87</v>
      </c>
      <c r="K32" s="3" t="s">
        <v>118</v>
      </c>
      <c r="O32" s="3" t="s">
        <v>87</v>
      </c>
      <c r="P32" s="3" t="s">
        <v>116</v>
      </c>
      <c r="T32" s="3" t="s">
        <v>89</v>
      </c>
      <c r="U32" s="3" t="s">
        <v>116</v>
      </c>
    </row>
    <row r="33" spans="4:21">
      <c r="E33" s="3" t="s">
        <v>87</v>
      </c>
      <c r="F33" s="3" t="s">
        <v>117</v>
      </c>
      <c r="J33" s="3" t="s">
        <v>90</v>
      </c>
      <c r="K33" s="3" t="s">
        <v>119</v>
      </c>
      <c r="O33" s="3" t="s">
        <v>91</v>
      </c>
      <c r="P33" s="3" t="s">
        <v>116</v>
      </c>
      <c r="T33" s="3" t="s">
        <v>86</v>
      </c>
      <c r="U33" s="3" t="s">
        <v>117</v>
      </c>
    </row>
    <row r="36" spans="4:21" ht="19" thickBot="1">
      <c r="D36" s="57" t="s">
        <v>48</v>
      </c>
    </row>
    <row r="37" spans="4:21" ht="15" thickTop="1">
      <c r="D37" s="29" t="s">
        <v>79</v>
      </c>
      <c r="E37" s="55" t="s">
        <v>110</v>
      </c>
      <c r="F37" s="7" t="s">
        <v>111</v>
      </c>
      <c r="G37" s="55" t="s">
        <v>110</v>
      </c>
      <c r="H37" s="8" t="s">
        <v>112</v>
      </c>
      <c r="J37" s="3" t="str">
        <f>IF(H37=F38,1,IF(H37=F39,1,IF(H37=F40,1,IF(H37=F41,1,IF(H37=F42,1,"")))))</f>
        <v/>
      </c>
    </row>
    <row r="38" spans="4:21">
      <c r="D38" s="50" t="s">
        <v>58</v>
      </c>
      <c r="E38" s="54" t="s">
        <v>109</v>
      </c>
      <c r="F38" s="3">
        <v>2</v>
      </c>
      <c r="G38" s="54" t="s">
        <v>110</v>
      </c>
      <c r="H38" s="10" t="s">
        <v>111</v>
      </c>
    </row>
    <row r="39" spans="4:21">
      <c r="D39" s="51" t="s">
        <v>67</v>
      </c>
      <c r="E39" s="54" t="s">
        <v>109</v>
      </c>
      <c r="F39" s="3">
        <v>3</v>
      </c>
      <c r="G39" s="54" t="s">
        <v>109</v>
      </c>
      <c r="H39" s="10">
        <v>4</v>
      </c>
    </row>
    <row r="40" spans="4:21">
      <c r="D40" s="52" t="s">
        <v>52</v>
      </c>
      <c r="E40" s="54" t="s">
        <v>110</v>
      </c>
      <c r="F40" s="3" t="s">
        <v>107</v>
      </c>
      <c r="G40" s="54" t="s">
        <v>109</v>
      </c>
      <c r="H40" s="10">
        <v>3</v>
      </c>
    </row>
    <row r="41" spans="4:21">
      <c r="D41" s="53" t="s">
        <v>74</v>
      </c>
      <c r="E41" s="54" t="s">
        <v>110</v>
      </c>
      <c r="F41" s="3" t="s">
        <v>108</v>
      </c>
      <c r="G41" s="54" t="s">
        <v>110</v>
      </c>
      <c r="H41" s="10" t="s">
        <v>107</v>
      </c>
    </row>
    <row r="42" spans="4:21" ht="15" thickBot="1">
      <c r="D42" s="26" t="s">
        <v>53</v>
      </c>
      <c r="E42" s="56" t="s">
        <v>109</v>
      </c>
      <c r="F42" s="12">
        <v>1</v>
      </c>
      <c r="G42" s="56" t="s">
        <v>110</v>
      </c>
      <c r="H42" s="13" t="s">
        <v>108</v>
      </c>
    </row>
    <row r="43" spans="4:21" ht="15" thickTop="1"/>
    <row r="44" spans="4:21">
      <c r="D44" s="3" t="s">
        <v>95</v>
      </c>
      <c r="F44" s="3" t="s">
        <v>112</v>
      </c>
    </row>
    <row r="46" spans="4:21" ht="19" thickBot="1">
      <c r="D46" s="57" t="s">
        <v>49</v>
      </c>
    </row>
    <row r="47" spans="4:21" ht="15" thickTop="1">
      <c r="D47" s="29" t="s">
        <v>80</v>
      </c>
      <c r="E47" s="55" t="s">
        <v>110</v>
      </c>
      <c r="F47" s="7" t="s">
        <v>112</v>
      </c>
      <c r="G47" s="55" t="s">
        <v>109</v>
      </c>
      <c r="H47" s="8">
        <v>4</v>
      </c>
    </row>
    <row r="48" spans="4:21">
      <c r="D48" s="52" t="s">
        <v>59</v>
      </c>
      <c r="E48" s="54" t="s">
        <v>110</v>
      </c>
      <c r="F48" s="3" t="s">
        <v>107</v>
      </c>
      <c r="G48" s="54" t="s">
        <v>110</v>
      </c>
      <c r="H48" s="10" t="s">
        <v>112</v>
      </c>
    </row>
    <row r="49" spans="4:8">
      <c r="D49" s="51" t="s">
        <v>81</v>
      </c>
      <c r="E49" s="54" t="s">
        <v>109</v>
      </c>
      <c r="F49" s="3">
        <v>1</v>
      </c>
      <c r="G49" s="54" t="s">
        <v>110</v>
      </c>
      <c r="H49" s="10" t="s">
        <v>107</v>
      </c>
    </row>
    <row r="50" spans="4:8">
      <c r="D50" s="50" t="s">
        <v>63</v>
      </c>
      <c r="E50" s="54" t="s">
        <v>110</v>
      </c>
      <c r="F50" s="3" t="s">
        <v>111</v>
      </c>
      <c r="G50" s="54" t="s">
        <v>110</v>
      </c>
      <c r="H50" s="10" t="s">
        <v>108</v>
      </c>
    </row>
    <row r="51" spans="4:8">
      <c r="D51" s="52" t="s">
        <v>54</v>
      </c>
      <c r="E51" s="54" t="s">
        <v>109</v>
      </c>
      <c r="F51" s="3">
        <v>4</v>
      </c>
      <c r="G51" s="54" t="s">
        <v>109</v>
      </c>
      <c r="H51" s="10">
        <v>2</v>
      </c>
    </row>
    <row r="52" spans="4:8" ht="15" thickBot="1">
      <c r="D52" s="27" t="s">
        <v>76</v>
      </c>
      <c r="E52" s="56" t="s">
        <v>109</v>
      </c>
      <c r="F52" s="12">
        <v>3</v>
      </c>
      <c r="G52" s="56" t="s">
        <v>110</v>
      </c>
      <c r="H52" s="13" t="s">
        <v>111</v>
      </c>
    </row>
    <row r="53" spans="4:8" ht="15" thickTop="1"/>
    <row r="54" spans="4:8">
      <c r="D54" s="3" t="s">
        <v>120</v>
      </c>
      <c r="F54" s="3" t="s">
        <v>108</v>
      </c>
    </row>
    <row r="56" spans="4:8" ht="19" thickBot="1">
      <c r="D56" s="57" t="s">
        <v>50</v>
      </c>
    </row>
    <row r="57" spans="4:8" ht="15" thickTop="1">
      <c r="D57" s="30" t="s">
        <v>61</v>
      </c>
      <c r="E57" s="55" t="s">
        <v>109</v>
      </c>
      <c r="F57" s="7">
        <v>2</v>
      </c>
      <c r="G57" s="55" t="s">
        <v>110</v>
      </c>
      <c r="H57" s="8" t="s">
        <v>107</v>
      </c>
    </row>
    <row r="58" spans="4:8">
      <c r="D58" s="51" t="s">
        <v>121</v>
      </c>
      <c r="E58" s="54" t="s">
        <v>110</v>
      </c>
      <c r="F58" s="3" t="s">
        <v>108</v>
      </c>
      <c r="G58" s="54" t="s">
        <v>109</v>
      </c>
      <c r="H58" s="10">
        <v>2</v>
      </c>
    </row>
    <row r="59" spans="4:8">
      <c r="D59" s="51" t="s">
        <v>62</v>
      </c>
      <c r="E59" s="54" t="s">
        <v>109</v>
      </c>
      <c r="F59" s="3">
        <v>4</v>
      </c>
      <c r="G59" s="54" t="s">
        <v>110</v>
      </c>
      <c r="H59" s="10" t="s">
        <v>108</v>
      </c>
    </row>
    <row r="60" spans="4:8">
      <c r="D60" s="53" t="s">
        <v>77</v>
      </c>
      <c r="E60" s="54" t="s">
        <v>109</v>
      </c>
      <c r="F60" s="3">
        <v>1</v>
      </c>
      <c r="G60" s="54" t="s">
        <v>109</v>
      </c>
      <c r="H60" s="10">
        <v>3</v>
      </c>
    </row>
    <row r="61" spans="4:8">
      <c r="D61" s="52" t="s">
        <v>55</v>
      </c>
      <c r="E61" s="54" t="s">
        <v>110</v>
      </c>
      <c r="F61" s="3" t="s">
        <v>112</v>
      </c>
      <c r="G61" s="54" t="s">
        <v>110</v>
      </c>
      <c r="H61" s="10" t="s">
        <v>111</v>
      </c>
    </row>
    <row r="62" spans="4:8" ht="15" thickBot="1">
      <c r="D62" s="28" t="s">
        <v>66</v>
      </c>
      <c r="E62" s="56" t="s">
        <v>110</v>
      </c>
      <c r="F62" s="12" t="s">
        <v>111</v>
      </c>
      <c r="G62" s="56" t="s">
        <v>110</v>
      </c>
      <c r="H62" s="13" t="s">
        <v>112</v>
      </c>
    </row>
    <row r="63" spans="4:8" ht="15" thickTop="1"/>
    <row r="64" spans="4:8">
      <c r="D64" s="3" t="s">
        <v>94</v>
      </c>
      <c r="F64" s="3" t="s">
        <v>111</v>
      </c>
    </row>
    <row r="66" spans="4:8" ht="19" thickBot="1">
      <c r="D66" s="57" t="s">
        <v>51</v>
      </c>
    </row>
    <row r="67" spans="4:8" ht="15" thickTop="1">
      <c r="D67" s="31" t="s">
        <v>78</v>
      </c>
      <c r="E67" s="55" t="s">
        <v>110</v>
      </c>
      <c r="F67" s="7" t="s">
        <v>112</v>
      </c>
      <c r="G67" s="55" t="s">
        <v>110</v>
      </c>
      <c r="H67" s="8" t="s">
        <v>111</v>
      </c>
    </row>
    <row r="68" spans="4:8">
      <c r="D68" s="50" t="s">
        <v>82</v>
      </c>
      <c r="E68" s="54" t="s">
        <v>109</v>
      </c>
      <c r="F68" s="3">
        <v>4</v>
      </c>
      <c r="G68" s="54" t="s">
        <v>109</v>
      </c>
      <c r="H68" s="10">
        <v>1</v>
      </c>
    </row>
    <row r="69" spans="4:8">
      <c r="D69" s="51" t="s">
        <v>65</v>
      </c>
      <c r="E69" s="54" t="s">
        <v>109</v>
      </c>
      <c r="F69" s="3">
        <v>2</v>
      </c>
      <c r="G69" s="54" t="s">
        <v>110</v>
      </c>
      <c r="H69" s="10" t="s">
        <v>112</v>
      </c>
    </row>
    <row r="70" spans="4:8">
      <c r="D70" s="52" t="s">
        <v>68</v>
      </c>
      <c r="E70" s="54" t="s">
        <v>110</v>
      </c>
      <c r="F70" s="3" t="s">
        <v>108</v>
      </c>
      <c r="G70" s="54" t="s">
        <v>109</v>
      </c>
      <c r="H70" s="10">
        <v>2</v>
      </c>
    </row>
    <row r="71" spans="4:8">
      <c r="D71" s="51" t="s">
        <v>57</v>
      </c>
      <c r="E71" s="54" t="s">
        <v>110</v>
      </c>
      <c r="F71" s="3" t="s">
        <v>107</v>
      </c>
      <c r="G71" s="54" t="s">
        <v>110</v>
      </c>
      <c r="H71" s="10" t="s">
        <v>108</v>
      </c>
    </row>
    <row r="72" spans="4:8" ht="15" thickBot="1">
      <c r="D72" s="26" t="s">
        <v>60</v>
      </c>
      <c r="E72" s="56" t="s">
        <v>109</v>
      </c>
      <c r="F72" s="12">
        <v>3</v>
      </c>
      <c r="G72" s="56" t="s">
        <v>110</v>
      </c>
      <c r="H72" s="13" t="s">
        <v>107</v>
      </c>
    </row>
    <row r="73" spans="4:8" ht="15" thickTop="1"/>
    <row r="74" spans="4:8">
      <c r="D74" s="3" t="s">
        <v>100</v>
      </c>
      <c r="F74" s="3" t="s">
        <v>107</v>
      </c>
    </row>
  </sheetData>
  <conditionalFormatting sqref="E4:E9">
    <cfRule type="containsText" dxfId="53" priority="95" operator="containsText" text="out">
      <formula>NOT(ISERROR(SEARCH("out",E4)))</formula>
    </cfRule>
    <cfRule type="containsText" dxfId="52" priority="96" operator="containsText" text="in">
      <formula>NOT(ISERROR(SEARCH("in",E4)))</formula>
    </cfRule>
  </conditionalFormatting>
  <conditionalFormatting sqref="E20:E25">
    <cfRule type="containsText" dxfId="51" priority="83" operator="containsText" text="out">
      <formula>NOT(ISERROR(SEARCH("out",E20)))</formula>
    </cfRule>
    <cfRule type="containsText" dxfId="50" priority="84" operator="containsText" text="in">
      <formula>NOT(ISERROR(SEARCH("in",E20)))</formula>
    </cfRule>
  </conditionalFormatting>
  <conditionalFormatting sqref="E37:E42">
    <cfRule type="containsText" dxfId="49" priority="51" operator="containsText" text="out">
      <formula>NOT(ISERROR(SEARCH("out",E37)))</formula>
    </cfRule>
    <cfRule type="containsText" dxfId="48" priority="52" operator="containsText" text="in">
      <formula>NOT(ISERROR(SEARCH("in",E37)))</formula>
    </cfRule>
  </conditionalFormatting>
  <conditionalFormatting sqref="E47:E52">
    <cfRule type="containsText" dxfId="47" priority="27" operator="containsText" text="out">
      <formula>NOT(ISERROR(SEARCH("out",E47)))</formula>
    </cfRule>
    <cfRule type="containsText" dxfId="46" priority="28" operator="containsText" text="in">
      <formula>NOT(ISERROR(SEARCH("in",E47)))</formula>
    </cfRule>
  </conditionalFormatting>
  <conditionalFormatting sqref="E57:E62 G57:G62">
    <cfRule type="containsText" dxfId="45" priority="13" operator="containsText" text="out">
      <formula>NOT(ISERROR(SEARCH("out",E57)))</formula>
    </cfRule>
    <cfRule type="containsText" dxfId="44" priority="14" operator="containsText" text="in">
      <formula>NOT(ISERROR(SEARCH("in",E57)))</formula>
    </cfRule>
  </conditionalFormatting>
  <conditionalFormatting sqref="E67:E72 G67:G72">
    <cfRule type="containsText" dxfId="43" priority="1" operator="containsText" text="out">
      <formula>NOT(ISERROR(SEARCH("out",E67)))</formula>
    </cfRule>
    <cfRule type="containsText" dxfId="42" priority="2" operator="containsText" text="in">
      <formula>NOT(ISERROR(SEARCH("in",E67)))</formula>
    </cfRule>
  </conditionalFormatting>
  <conditionalFormatting sqref="G4:G9">
    <cfRule type="containsText" dxfId="41" priority="93" operator="containsText" text="out">
      <formula>NOT(ISERROR(SEARCH("out",G4)))</formula>
    </cfRule>
    <cfRule type="containsText" dxfId="40" priority="94" operator="containsText" text="in">
      <formula>NOT(ISERROR(SEARCH("in",G4)))</formula>
    </cfRule>
  </conditionalFormatting>
  <conditionalFormatting sqref="G20:G25">
    <cfRule type="containsText" dxfId="39" priority="81" operator="containsText" text="out">
      <formula>NOT(ISERROR(SEARCH("out",G20)))</formula>
    </cfRule>
    <cfRule type="containsText" dxfId="38" priority="82" operator="containsText" text="in">
      <formula>NOT(ISERROR(SEARCH("in",G20)))</formula>
    </cfRule>
  </conditionalFormatting>
  <conditionalFormatting sqref="G37:G42">
    <cfRule type="containsText" dxfId="37" priority="49" operator="containsText" text="out">
      <formula>NOT(ISERROR(SEARCH("out",G37)))</formula>
    </cfRule>
    <cfRule type="containsText" dxfId="36" priority="50" operator="containsText" text="in">
      <formula>NOT(ISERROR(SEARCH("in",G37)))</formula>
    </cfRule>
  </conditionalFormatting>
  <conditionalFormatting sqref="G47:G52">
    <cfRule type="containsText" dxfId="35" priority="25" operator="containsText" text="out">
      <formula>NOT(ISERROR(SEARCH("out",G47)))</formula>
    </cfRule>
    <cfRule type="containsText" dxfId="34" priority="26" operator="containsText" text="in">
      <formula>NOT(ISERROR(SEARCH("in",G47)))</formula>
    </cfRule>
  </conditionalFormatting>
  <conditionalFormatting sqref="J4:J9">
    <cfRule type="containsText" dxfId="33" priority="91" operator="containsText" text="out">
      <formula>NOT(ISERROR(SEARCH("out",J4)))</formula>
    </cfRule>
    <cfRule type="containsText" dxfId="32" priority="92" operator="containsText" text="in">
      <formula>NOT(ISERROR(SEARCH("in",J4)))</formula>
    </cfRule>
  </conditionalFormatting>
  <conditionalFormatting sqref="J20:J25">
    <cfRule type="containsText" dxfId="31" priority="79" operator="containsText" text="out">
      <formula>NOT(ISERROR(SEARCH("out",J20)))</formula>
    </cfRule>
    <cfRule type="containsText" dxfId="30" priority="80" operator="containsText" text="in">
      <formula>NOT(ISERROR(SEARCH("in",J20)))</formula>
    </cfRule>
  </conditionalFormatting>
  <conditionalFormatting sqref="L4:L9">
    <cfRule type="containsText" dxfId="29" priority="89" operator="containsText" text="out">
      <formula>NOT(ISERROR(SEARCH("out",L4)))</formula>
    </cfRule>
    <cfRule type="containsText" dxfId="28" priority="90" operator="containsText" text="in">
      <formula>NOT(ISERROR(SEARCH("in",L4)))</formula>
    </cfRule>
  </conditionalFormatting>
  <conditionalFormatting sqref="L20:L25">
    <cfRule type="containsText" dxfId="27" priority="77" operator="containsText" text="out">
      <formula>NOT(ISERROR(SEARCH("out",L20)))</formula>
    </cfRule>
    <cfRule type="containsText" dxfId="26" priority="78" operator="containsText" text="in">
      <formula>NOT(ISERROR(SEARCH("in",L20)))</formula>
    </cfRule>
  </conditionalFormatting>
  <conditionalFormatting sqref="O4:O9 Q4:Q9">
    <cfRule type="containsText" dxfId="25" priority="87" operator="containsText" text="out">
      <formula>NOT(ISERROR(SEARCH("out",O4)))</formula>
    </cfRule>
    <cfRule type="containsText" dxfId="24" priority="88" operator="containsText" text="in">
      <formula>NOT(ISERROR(SEARCH("in",O4)))</formula>
    </cfRule>
  </conditionalFormatting>
  <conditionalFormatting sqref="O20:O25 Q20:Q25">
    <cfRule type="containsText" dxfId="23" priority="75" operator="containsText" text="out">
      <formula>NOT(ISERROR(SEARCH("out",O20)))</formula>
    </cfRule>
    <cfRule type="containsText" dxfId="22" priority="76" operator="containsText" text="in">
      <formula>NOT(ISERROR(SEARCH("in",O20)))</formula>
    </cfRule>
  </conditionalFormatting>
  <conditionalFormatting sqref="T4:T9 V4:V9">
    <cfRule type="containsText" dxfId="21" priority="85" operator="containsText" text="out">
      <formula>NOT(ISERROR(SEARCH("out",T4)))</formula>
    </cfRule>
    <cfRule type="containsText" dxfId="20" priority="86" operator="containsText" text="in">
      <formula>NOT(ISERROR(SEARCH("in",T4)))</formula>
    </cfRule>
  </conditionalFormatting>
  <conditionalFormatting sqref="T20:T25 V20:V25">
    <cfRule type="containsText" dxfId="19" priority="73" operator="containsText" text="out">
      <formula>NOT(ISERROR(SEARCH("out",T20)))</formula>
    </cfRule>
    <cfRule type="containsText" dxfId="18" priority="74" operator="containsText" text="in">
      <formula>NOT(ISERROR(SEARCH("in",T20)))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F247-44B9-4C79-A667-090269DF4DF0}">
  <dimension ref="A2:AA47"/>
  <sheetViews>
    <sheetView tabSelected="1" topLeftCell="I1" workbookViewId="0">
      <selection activeCell="AA10" sqref="AA10"/>
    </sheetView>
  </sheetViews>
  <sheetFormatPr defaultRowHeight="14.5"/>
  <cols>
    <col min="1" max="1" width="5.453125" style="3" customWidth="1"/>
    <col min="2" max="2" width="10.6328125" style="3" bestFit="1" customWidth="1"/>
    <col min="3" max="3" width="3.90625" style="3" bestFit="1" customWidth="1"/>
    <col min="4" max="4" width="1.90625" style="3" customWidth="1"/>
    <col min="5" max="5" width="3.81640625" style="3" bestFit="1" customWidth="1"/>
    <col min="6" max="6" width="12.26953125" style="3" bestFit="1" customWidth="1"/>
    <col min="7" max="8" width="3.1796875" style="3" bestFit="1" customWidth="1"/>
    <col min="9" max="9" width="2.1796875" style="3" bestFit="1" customWidth="1"/>
    <col min="10" max="10" width="2.6328125" style="3" customWidth="1"/>
    <col min="11" max="11" width="4.90625" style="3" bestFit="1" customWidth="1"/>
    <col min="12" max="12" width="8" style="3" bestFit="1" customWidth="1"/>
    <col min="13" max="13" width="2.1796875" style="3" bestFit="1" customWidth="1"/>
    <col min="14" max="21" width="8.7265625" style="3"/>
    <col min="22" max="22" width="10.453125" style="3" bestFit="1" customWidth="1"/>
    <col min="23" max="16384" width="8.7265625" style="3"/>
  </cols>
  <sheetData>
    <row r="2" spans="1:27">
      <c r="A2" s="72" t="s">
        <v>1692</v>
      </c>
      <c r="B2" s="73" t="s">
        <v>1693</v>
      </c>
      <c r="C2" s="74" t="s">
        <v>1694</v>
      </c>
      <c r="D2" s="2"/>
      <c r="E2" s="81" t="s">
        <v>48</v>
      </c>
      <c r="F2" s="81"/>
      <c r="G2" s="81"/>
      <c r="H2" s="81"/>
      <c r="I2" s="81"/>
      <c r="K2" s="72" t="s">
        <v>1692</v>
      </c>
      <c r="L2" s="73" t="s">
        <v>1693</v>
      </c>
      <c r="M2" s="74" t="s">
        <v>1695</v>
      </c>
    </row>
    <row r="3" spans="1:27">
      <c r="A3" s="75" t="s">
        <v>1696</v>
      </c>
      <c r="B3" s="76" t="s">
        <v>1697</v>
      </c>
      <c r="C3" s="77" t="s">
        <v>112</v>
      </c>
      <c r="E3" s="82"/>
      <c r="F3" s="82"/>
      <c r="G3" s="82"/>
      <c r="H3" s="82"/>
      <c r="I3" s="82"/>
      <c r="K3" s="75" t="s">
        <v>1698</v>
      </c>
      <c r="L3" s="76" t="s">
        <v>1699</v>
      </c>
      <c r="M3" s="77">
        <v>2</v>
      </c>
    </row>
    <row r="4" spans="1:27">
      <c r="A4" s="75" t="s">
        <v>1700</v>
      </c>
      <c r="B4" s="76" t="s">
        <v>1701</v>
      </c>
      <c r="C4" s="77" t="s">
        <v>111</v>
      </c>
      <c r="E4" s="72" t="s">
        <v>1692</v>
      </c>
      <c r="F4" s="73" t="s">
        <v>1693</v>
      </c>
      <c r="G4" s="73" t="s">
        <v>101</v>
      </c>
      <c r="H4" s="73" t="s">
        <v>102</v>
      </c>
      <c r="I4" s="74" t="s">
        <v>1695</v>
      </c>
      <c r="K4" s="75" t="s">
        <v>1702</v>
      </c>
      <c r="L4" s="76" t="s">
        <v>1703</v>
      </c>
      <c r="M4" s="77">
        <v>6</v>
      </c>
    </row>
    <row r="5" spans="1:27">
      <c r="A5" s="75" t="s">
        <v>1704</v>
      </c>
      <c r="B5" s="76" t="s">
        <v>1705</v>
      </c>
      <c r="C5" s="77" t="s">
        <v>108</v>
      </c>
      <c r="E5" s="75" t="s">
        <v>86</v>
      </c>
      <c r="F5" s="76" t="s">
        <v>52</v>
      </c>
      <c r="G5" s="76" t="s">
        <v>107</v>
      </c>
      <c r="H5" s="76">
        <v>3</v>
      </c>
      <c r="I5" s="77">
        <v>4</v>
      </c>
      <c r="K5" s="75" t="s">
        <v>1706</v>
      </c>
      <c r="L5" s="76" t="s">
        <v>1707</v>
      </c>
      <c r="M5" s="77">
        <v>3</v>
      </c>
      <c r="O5" s="3" t="str">
        <f>E5</f>
        <v>i1</v>
      </c>
      <c r="P5" s="3" t="str">
        <f>"n"&amp;I5</f>
        <v>n4</v>
      </c>
      <c r="Q5" s="3" t="str">
        <f>IF(G5="A","si"&amp;G5,IF(G5="B","si"&amp;G5,IF(G5="C","si"&amp;G5,IF(G5="D","si"&amp;G5,"so"&amp;G5))))</f>
        <v>siC</v>
      </c>
      <c r="R5" s="3" t="str">
        <f>IF(H5="A","fi"&amp;H5,IF(H5="B","fi"&amp;H5,IF(H5="C","fi"&amp;H5,IF(H5="D","fi"&amp;H5,"fo"&amp;H5))))</f>
        <v>fo3</v>
      </c>
      <c r="V5" s="3" t="str">
        <f>"-"&amp;P5&amp;Q5&amp;R5&amp;S5&amp;T5</f>
        <v>-n4siCfo3</v>
      </c>
      <c r="Z5" s="3">
        <v>1</v>
      </c>
      <c r="AA5" s="3">
        <f>(Z5-1)*24</f>
        <v>0</v>
      </c>
    </row>
    <row r="6" spans="1:27">
      <c r="A6" s="75" t="s">
        <v>1708</v>
      </c>
      <c r="B6" s="76" t="s">
        <v>1709</v>
      </c>
      <c r="C6" s="77" t="s">
        <v>107</v>
      </c>
      <c r="E6" s="75" t="s">
        <v>87</v>
      </c>
      <c r="F6" s="76" t="s">
        <v>53</v>
      </c>
      <c r="G6" s="76">
        <v>1</v>
      </c>
      <c r="H6" s="76" t="s">
        <v>108</v>
      </c>
      <c r="I6" s="77">
        <v>6</v>
      </c>
      <c r="K6" s="75" t="s">
        <v>1710</v>
      </c>
      <c r="L6" s="76" t="s">
        <v>18</v>
      </c>
      <c r="M6" s="77">
        <v>5</v>
      </c>
      <c r="O6" s="3" t="str">
        <f t="shared" ref="O6:O10" si="0">E6</f>
        <v>i2</v>
      </c>
      <c r="P6" s="3" t="str">
        <f t="shared" ref="P6:P10" si="1">"n"&amp;I6</f>
        <v>n6</v>
      </c>
      <c r="Q6" s="3" t="str">
        <f t="shared" ref="Q6:R10" si="2">IF(G6="A","si"&amp;G6,IF(G6="B","si"&amp;G6,IF(G6="C","si"&amp;G6,IF(G6="D","si"&amp;G6,"so"&amp;G6))))</f>
        <v>so1</v>
      </c>
      <c r="R6" s="3" t="str">
        <f t="shared" ref="R6:R10" si="3">IF(H6="A","fi"&amp;H6,IF(H6="B","fi"&amp;H6,IF(H6="C","fi"&amp;H6,IF(H6="D","fi"&amp;H6,"fo"&amp;H6))))</f>
        <v>fiA</v>
      </c>
      <c r="V6" s="3" t="str">
        <f t="shared" ref="V6:V10" si="4">"-"&amp;P6&amp;Q6&amp;R6&amp;S6&amp;T6</f>
        <v>-n6so1fiA</v>
      </c>
      <c r="Z6" s="3">
        <v>2</v>
      </c>
      <c r="AA6" s="3">
        <f t="shared" ref="AA6:AA11" si="5">(Z6-1)*24</f>
        <v>24</v>
      </c>
    </row>
    <row r="7" spans="1:27">
      <c r="A7" s="75" t="s">
        <v>1711</v>
      </c>
      <c r="B7" s="76" t="s">
        <v>1712</v>
      </c>
      <c r="C7" s="77" t="s">
        <v>112</v>
      </c>
      <c r="E7" s="75" t="s">
        <v>88</v>
      </c>
      <c r="F7" s="76" t="s">
        <v>79</v>
      </c>
      <c r="G7" s="76" t="s">
        <v>111</v>
      </c>
      <c r="H7" s="76" t="s">
        <v>112</v>
      </c>
      <c r="I7" s="77">
        <v>1</v>
      </c>
      <c r="K7" s="75" t="s">
        <v>1713</v>
      </c>
      <c r="L7" s="76" t="s">
        <v>1714</v>
      </c>
      <c r="M7" s="77">
        <v>4</v>
      </c>
      <c r="O7" s="3" t="str">
        <f t="shared" si="0"/>
        <v>i3</v>
      </c>
      <c r="P7" s="3" t="str">
        <f t="shared" si="1"/>
        <v>n1</v>
      </c>
      <c r="Q7" s="3" t="str">
        <f t="shared" si="2"/>
        <v>siB</v>
      </c>
      <c r="R7" s="3" t="str">
        <f t="shared" si="3"/>
        <v>fiD</v>
      </c>
      <c r="V7" s="3" t="str">
        <f t="shared" si="4"/>
        <v>-n1siBfiD</v>
      </c>
    </row>
    <row r="8" spans="1:27">
      <c r="A8" s="75" t="s">
        <v>1715</v>
      </c>
      <c r="B8" s="76" t="s">
        <v>1716</v>
      </c>
      <c r="C8" s="77" t="s">
        <v>1717</v>
      </c>
      <c r="E8" s="75" t="s">
        <v>89</v>
      </c>
      <c r="F8" s="76" t="s">
        <v>67</v>
      </c>
      <c r="G8" s="76">
        <v>3</v>
      </c>
      <c r="H8" s="76">
        <v>4</v>
      </c>
      <c r="I8" s="77">
        <v>3</v>
      </c>
      <c r="K8" s="75" t="s">
        <v>1718</v>
      </c>
      <c r="L8" s="76" t="s">
        <v>1719</v>
      </c>
      <c r="M8" s="77">
        <v>1</v>
      </c>
      <c r="O8" s="3" t="str">
        <f t="shared" si="0"/>
        <v>i4</v>
      </c>
      <c r="P8" s="3" t="str">
        <f t="shared" si="1"/>
        <v>n3</v>
      </c>
      <c r="Q8" s="3" t="str">
        <f t="shared" si="2"/>
        <v>so3</v>
      </c>
      <c r="R8" s="3" t="str">
        <f t="shared" si="3"/>
        <v>fo4</v>
      </c>
      <c r="V8" s="3" t="str">
        <f t="shared" si="4"/>
        <v>-n3so3fo4</v>
      </c>
      <c r="Z8" s="3">
        <v>4</v>
      </c>
      <c r="AA8" s="3">
        <f t="shared" si="5"/>
        <v>72</v>
      </c>
    </row>
    <row r="9" spans="1:27">
      <c r="A9" s="75" t="s">
        <v>1720</v>
      </c>
      <c r="B9" s="76" t="s">
        <v>1721</v>
      </c>
      <c r="C9" s="77" t="s">
        <v>112</v>
      </c>
      <c r="E9" s="75" t="s">
        <v>90</v>
      </c>
      <c r="F9" s="76" t="s">
        <v>74</v>
      </c>
      <c r="G9" s="76" t="s">
        <v>108</v>
      </c>
      <c r="H9" s="76" t="s">
        <v>107</v>
      </c>
      <c r="I9" s="77">
        <v>5</v>
      </c>
      <c r="O9" s="3" t="str">
        <f t="shared" si="0"/>
        <v>i5</v>
      </c>
      <c r="P9" s="3" t="str">
        <f t="shared" si="1"/>
        <v>n5</v>
      </c>
      <c r="Q9" s="3" t="str">
        <f t="shared" si="2"/>
        <v>siA</v>
      </c>
      <c r="R9" s="3" t="str">
        <f t="shared" si="3"/>
        <v>fiC</v>
      </c>
      <c r="V9" s="3" t="str">
        <f t="shared" si="4"/>
        <v>-n5siAfiC</v>
      </c>
    </row>
    <row r="10" spans="1:27">
      <c r="A10" s="75" t="s">
        <v>1722</v>
      </c>
      <c r="B10" s="76" t="s">
        <v>1723</v>
      </c>
      <c r="C10" s="77"/>
      <c r="E10" s="75" t="s">
        <v>91</v>
      </c>
      <c r="F10" s="76" t="s">
        <v>58</v>
      </c>
      <c r="G10" s="76">
        <v>2</v>
      </c>
      <c r="H10" s="76" t="s">
        <v>111</v>
      </c>
      <c r="I10" s="77">
        <v>2</v>
      </c>
      <c r="K10" s="75" t="s">
        <v>1724</v>
      </c>
      <c r="L10" s="77" t="s">
        <v>108</v>
      </c>
      <c r="O10" s="3" t="str">
        <f t="shared" si="0"/>
        <v>i6</v>
      </c>
      <c r="P10" s="3" t="str">
        <f t="shared" si="1"/>
        <v>n2</v>
      </c>
      <c r="Q10" s="3" t="str">
        <f t="shared" si="2"/>
        <v>so2</v>
      </c>
      <c r="R10" s="3" t="str">
        <f t="shared" si="3"/>
        <v>fiB</v>
      </c>
      <c r="V10" s="3" t="str">
        <f t="shared" si="4"/>
        <v>-n2so2fiB</v>
      </c>
    </row>
    <row r="11" spans="1:27">
      <c r="A11" s="78" t="s">
        <v>1725</v>
      </c>
      <c r="B11" s="79" t="s">
        <v>1726</v>
      </c>
      <c r="C11" s="80"/>
      <c r="K11" s="78" t="s">
        <v>1727</v>
      </c>
      <c r="L11" s="80" t="s">
        <v>1728</v>
      </c>
      <c r="Z11" s="3">
        <v>7</v>
      </c>
      <c r="AA11" s="3">
        <f t="shared" si="5"/>
        <v>144</v>
      </c>
    </row>
    <row r="14" spans="1:27">
      <c r="A14" s="72" t="s">
        <v>1692</v>
      </c>
      <c r="B14" s="73" t="s">
        <v>1693</v>
      </c>
      <c r="C14" s="74" t="s">
        <v>1694</v>
      </c>
      <c r="D14" s="2"/>
      <c r="E14" s="81" t="s">
        <v>49</v>
      </c>
      <c r="F14" s="81"/>
      <c r="G14" s="81"/>
      <c r="H14" s="81"/>
      <c r="I14" s="81"/>
      <c r="K14" s="72" t="s">
        <v>1692</v>
      </c>
      <c r="L14" s="73" t="s">
        <v>1693</v>
      </c>
      <c r="M14" s="74" t="s">
        <v>1695</v>
      </c>
    </row>
    <row r="15" spans="1:27">
      <c r="A15" s="75" t="s">
        <v>1696</v>
      </c>
      <c r="B15" s="76" t="s">
        <v>1729</v>
      </c>
      <c r="C15" s="77" t="s">
        <v>108</v>
      </c>
      <c r="E15" s="82"/>
      <c r="F15" s="82"/>
      <c r="G15" s="82"/>
      <c r="H15" s="82"/>
      <c r="I15" s="82"/>
      <c r="K15" s="75" t="s">
        <v>1698</v>
      </c>
      <c r="L15" s="76" t="s">
        <v>1699</v>
      </c>
      <c r="M15" s="77">
        <v>4</v>
      </c>
    </row>
    <row r="16" spans="1:27">
      <c r="A16" s="75" t="s">
        <v>1700</v>
      </c>
      <c r="B16" s="76" t="s">
        <v>104</v>
      </c>
      <c r="C16" s="77" t="s">
        <v>112</v>
      </c>
      <c r="E16" s="72" t="s">
        <v>1692</v>
      </c>
      <c r="F16" s="73" t="s">
        <v>1693</v>
      </c>
      <c r="G16" s="73" t="s">
        <v>101</v>
      </c>
      <c r="H16" s="73" t="s">
        <v>102</v>
      </c>
      <c r="I16" s="74" t="s">
        <v>1695</v>
      </c>
      <c r="K16" s="75" t="s">
        <v>1702</v>
      </c>
      <c r="L16" s="76" t="s">
        <v>1703</v>
      </c>
      <c r="M16" s="77">
        <v>6</v>
      </c>
    </row>
    <row r="17" spans="1:22">
      <c r="A17" s="75" t="s">
        <v>1704</v>
      </c>
      <c r="B17" s="76" t="s">
        <v>1730</v>
      </c>
      <c r="C17" s="77" t="s">
        <v>111</v>
      </c>
      <c r="E17" s="75" t="s">
        <v>86</v>
      </c>
      <c r="F17" s="76" t="s">
        <v>59</v>
      </c>
      <c r="G17" s="76" t="s">
        <v>107</v>
      </c>
      <c r="H17" s="76" t="s">
        <v>112</v>
      </c>
      <c r="I17" s="77">
        <v>2</v>
      </c>
      <c r="K17" s="75" t="s">
        <v>1706</v>
      </c>
      <c r="L17" s="76" t="s">
        <v>1707</v>
      </c>
      <c r="M17" s="77">
        <v>2</v>
      </c>
      <c r="O17" s="3" t="str">
        <f>E17</f>
        <v>i1</v>
      </c>
      <c r="P17" s="3" t="str">
        <f>"n"&amp;I17</f>
        <v>n2</v>
      </c>
      <c r="Q17" s="3" t="str">
        <f>IF(G17="A","si"&amp;G17,IF(G17="B","si"&amp;G17,IF(G17="C","si"&amp;G17,IF(G17="D","si"&amp;G17,"so"&amp;G17))))</f>
        <v>siC</v>
      </c>
      <c r="R17" s="3" t="str">
        <f>IF(H17="A","fi"&amp;H17,IF(H17="B","fi"&amp;H17,IF(H17="C","fi"&amp;H17,IF(H17="D","fi"&amp;H17,"fo"&amp;H17))))</f>
        <v>fiD</v>
      </c>
      <c r="V17" s="3" t="str">
        <f>"-"&amp;P17&amp;Q17&amp;R17&amp;S17&amp;T17</f>
        <v>-n2siCfiD</v>
      </c>
    </row>
    <row r="18" spans="1:22">
      <c r="A18" s="75" t="s">
        <v>1708</v>
      </c>
      <c r="B18" s="76" t="s">
        <v>1731</v>
      </c>
      <c r="C18" s="77" t="s">
        <v>107</v>
      </c>
      <c r="E18" s="75" t="s">
        <v>87</v>
      </c>
      <c r="F18" s="76" t="s">
        <v>54</v>
      </c>
      <c r="G18" s="76">
        <v>4</v>
      </c>
      <c r="H18" s="76">
        <v>2</v>
      </c>
      <c r="I18" s="77">
        <v>5</v>
      </c>
      <c r="K18" s="75" t="s">
        <v>1710</v>
      </c>
      <c r="L18" s="76" t="s">
        <v>18</v>
      </c>
      <c r="M18" s="77">
        <v>3</v>
      </c>
      <c r="O18" s="3" t="str">
        <f t="shared" ref="O18:O22" si="6">E18</f>
        <v>i2</v>
      </c>
      <c r="P18" s="3" t="str">
        <f t="shared" ref="P18:P22" si="7">"n"&amp;I18</f>
        <v>n5</v>
      </c>
      <c r="Q18" s="3" t="str">
        <f t="shared" ref="Q18:Q22" si="8">IF(G18="A","si"&amp;G18,IF(G18="B","si"&amp;G18,IF(G18="C","si"&amp;G18,IF(G18="D","si"&amp;G18,"so"&amp;G18))))</f>
        <v>so4</v>
      </c>
      <c r="R18" s="3" t="str">
        <f t="shared" ref="R18:R22" si="9">IF(H18="A","fi"&amp;H18,IF(H18="B","fi"&amp;H18,IF(H18="C","fi"&amp;H18,IF(H18="D","fi"&amp;H18,"fo"&amp;H18))))</f>
        <v>fo2</v>
      </c>
      <c r="V18" s="3" t="str">
        <f t="shared" ref="V18:V22" si="10">"-"&amp;P18&amp;Q18&amp;R18&amp;S18&amp;T18</f>
        <v>-n5so4fo2</v>
      </c>
    </row>
    <row r="19" spans="1:22">
      <c r="A19" s="75" t="s">
        <v>1711</v>
      </c>
      <c r="B19" s="76" t="s">
        <v>120</v>
      </c>
      <c r="C19" s="77" t="s">
        <v>108</v>
      </c>
      <c r="E19" s="75" t="s">
        <v>88</v>
      </c>
      <c r="F19" s="76" t="s">
        <v>81</v>
      </c>
      <c r="G19" s="76">
        <v>1</v>
      </c>
      <c r="H19" s="76" t="s">
        <v>107</v>
      </c>
      <c r="I19" s="77">
        <v>3</v>
      </c>
      <c r="K19" s="75" t="s">
        <v>1713</v>
      </c>
      <c r="L19" s="76" t="s">
        <v>1714</v>
      </c>
      <c r="M19" s="77">
        <v>5</v>
      </c>
      <c r="O19" s="3" t="str">
        <f t="shared" si="6"/>
        <v>i3</v>
      </c>
      <c r="P19" s="3" t="str">
        <f t="shared" si="7"/>
        <v>n3</v>
      </c>
      <c r="Q19" s="3" t="str">
        <f t="shared" si="8"/>
        <v>so1</v>
      </c>
      <c r="R19" s="3" t="str">
        <f t="shared" si="9"/>
        <v>fiC</v>
      </c>
      <c r="V19" s="3" t="str">
        <f t="shared" si="10"/>
        <v>-n3so1fiC</v>
      </c>
    </row>
    <row r="20" spans="1:22">
      <c r="A20" s="75" t="s">
        <v>1715</v>
      </c>
      <c r="B20" s="76" t="s">
        <v>1732</v>
      </c>
      <c r="C20" s="77" t="s">
        <v>320</v>
      </c>
      <c r="E20" s="75" t="s">
        <v>89</v>
      </c>
      <c r="F20" s="76" t="s">
        <v>80</v>
      </c>
      <c r="G20" s="76" t="s">
        <v>112</v>
      </c>
      <c r="H20" s="76">
        <v>4</v>
      </c>
      <c r="I20" s="77">
        <v>1</v>
      </c>
      <c r="K20" s="75" t="s">
        <v>1718</v>
      </c>
      <c r="L20" s="76" t="s">
        <v>1719</v>
      </c>
      <c r="M20" s="77">
        <v>1</v>
      </c>
      <c r="O20" s="3" t="str">
        <f t="shared" si="6"/>
        <v>i4</v>
      </c>
      <c r="P20" s="3" t="str">
        <f t="shared" si="7"/>
        <v>n1</v>
      </c>
      <c r="Q20" s="3" t="str">
        <f t="shared" si="8"/>
        <v>siD</v>
      </c>
      <c r="R20" s="3" t="str">
        <f t="shared" si="9"/>
        <v>fo4</v>
      </c>
      <c r="V20" s="3" t="str">
        <f t="shared" si="10"/>
        <v>-n1siDfo4</v>
      </c>
    </row>
    <row r="21" spans="1:22">
      <c r="A21" s="75" t="s">
        <v>1720</v>
      </c>
      <c r="B21" s="76" t="s">
        <v>1733</v>
      </c>
      <c r="C21" s="77" t="s">
        <v>107</v>
      </c>
      <c r="E21" s="75" t="s">
        <v>90</v>
      </c>
      <c r="F21" s="76" t="s">
        <v>76</v>
      </c>
      <c r="G21" s="76">
        <v>3</v>
      </c>
      <c r="H21" s="76" t="s">
        <v>111</v>
      </c>
      <c r="I21" s="77">
        <v>6</v>
      </c>
      <c r="O21" s="3" t="str">
        <f t="shared" si="6"/>
        <v>i5</v>
      </c>
      <c r="P21" s="3" t="str">
        <f t="shared" si="7"/>
        <v>n6</v>
      </c>
      <c r="Q21" s="3" t="str">
        <f t="shared" si="8"/>
        <v>so3</v>
      </c>
      <c r="R21" s="3" t="str">
        <f t="shared" si="9"/>
        <v>fiB</v>
      </c>
      <c r="V21" s="3" t="str">
        <f t="shared" si="10"/>
        <v>-n6so3fiB</v>
      </c>
    </row>
    <row r="22" spans="1:22">
      <c r="A22" s="75" t="s">
        <v>1722</v>
      </c>
      <c r="B22" s="76" t="s">
        <v>1734</v>
      </c>
      <c r="C22" s="77"/>
      <c r="E22" s="75" t="s">
        <v>91</v>
      </c>
      <c r="F22" s="76" t="s">
        <v>63</v>
      </c>
      <c r="G22" s="76" t="s">
        <v>111</v>
      </c>
      <c r="H22" s="76" t="s">
        <v>108</v>
      </c>
      <c r="I22" s="77">
        <v>4</v>
      </c>
      <c r="K22" s="75" t="s">
        <v>1724</v>
      </c>
      <c r="L22" s="77" t="s">
        <v>111</v>
      </c>
      <c r="O22" s="3" t="str">
        <f t="shared" si="6"/>
        <v>i6</v>
      </c>
      <c r="P22" s="3" t="str">
        <f t="shared" si="7"/>
        <v>n4</v>
      </c>
      <c r="Q22" s="3" t="str">
        <f t="shared" si="8"/>
        <v>siB</v>
      </c>
      <c r="R22" s="3" t="str">
        <f t="shared" si="9"/>
        <v>fiA</v>
      </c>
      <c r="V22" s="3" t="str">
        <f t="shared" si="10"/>
        <v>-n4siBfiA</v>
      </c>
    </row>
    <row r="23" spans="1:22">
      <c r="A23" s="78" t="s">
        <v>1725</v>
      </c>
      <c r="B23" s="79" t="s">
        <v>1735</v>
      </c>
      <c r="C23" s="80"/>
      <c r="K23" s="78" t="s">
        <v>1727</v>
      </c>
      <c r="L23" s="80" t="s">
        <v>112</v>
      </c>
    </row>
    <row r="26" spans="1:22">
      <c r="A26" s="72" t="s">
        <v>1692</v>
      </c>
      <c r="B26" s="73" t="s">
        <v>1693</v>
      </c>
      <c r="C26" s="74" t="s">
        <v>1694</v>
      </c>
      <c r="D26" s="2"/>
      <c r="E26" s="81" t="s">
        <v>50</v>
      </c>
      <c r="F26" s="81"/>
      <c r="G26" s="81"/>
      <c r="H26" s="81"/>
      <c r="I26" s="81"/>
      <c r="K26" s="72" t="s">
        <v>1692</v>
      </c>
      <c r="L26" s="73" t="s">
        <v>1693</v>
      </c>
      <c r="M26" s="74" t="s">
        <v>1695</v>
      </c>
    </row>
    <row r="27" spans="1:22">
      <c r="A27" s="75" t="s">
        <v>1696</v>
      </c>
      <c r="B27" s="76" t="s">
        <v>1736</v>
      </c>
      <c r="C27" s="77" t="s">
        <v>112</v>
      </c>
      <c r="E27" s="82"/>
      <c r="F27" s="82"/>
      <c r="G27" s="82"/>
      <c r="H27" s="82"/>
      <c r="I27" s="82"/>
      <c r="K27" s="75" t="s">
        <v>1698</v>
      </c>
      <c r="L27" s="76" t="s">
        <v>1699</v>
      </c>
      <c r="M27" s="77">
        <v>5</v>
      </c>
    </row>
    <row r="28" spans="1:22">
      <c r="A28" s="75" t="s">
        <v>1700</v>
      </c>
      <c r="B28" s="76" t="s">
        <v>1737</v>
      </c>
      <c r="C28" s="77" t="s">
        <v>111</v>
      </c>
      <c r="E28" s="72" t="s">
        <v>1692</v>
      </c>
      <c r="F28" s="73" t="s">
        <v>1693</v>
      </c>
      <c r="G28" s="73" t="s">
        <v>101</v>
      </c>
      <c r="H28" s="73" t="s">
        <v>102</v>
      </c>
      <c r="I28" s="74" t="s">
        <v>1695</v>
      </c>
      <c r="K28" s="75" t="s">
        <v>1702</v>
      </c>
      <c r="L28" s="76" t="s">
        <v>1703</v>
      </c>
      <c r="M28" s="77">
        <v>6</v>
      </c>
    </row>
    <row r="29" spans="1:22">
      <c r="A29" s="75" t="s">
        <v>1704</v>
      </c>
      <c r="B29" s="76" t="s">
        <v>1738</v>
      </c>
      <c r="C29" s="77" t="s">
        <v>107</v>
      </c>
      <c r="E29" s="75" t="s">
        <v>86</v>
      </c>
      <c r="F29" s="76" t="s">
        <v>61</v>
      </c>
      <c r="G29" s="76">
        <v>2</v>
      </c>
      <c r="H29" s="76" t="s">
        <v>107</v>
      </c>
      <c r="I29" s="77">
        <v>1</v>
      </c>
      <c r="K29" s="75" t="s">
        <v>1706</v>
      </c>
      <c r="L29" s="76" t="s">
        <v>1707</v>
      </c>
      <c r="M29" s="77">
        <v>4</v>
      </c>
      <c r="O29" s="3" t="str">
        <f>E29</f>
        <v>i1</v>
      </c>
      <c r="P29" s="3" t="str">
        <f>"n"&amp;I29</f>
        <v>n1</v>
      </c>
      <c r="Q29" s="3" t="str">
        <f>IF(G29="A","si"&amp;G29,IF(G29="B","si"&amp;G29,IF(G29="C","si"&amp;G29,IF(G29="D","si"&amp;G29,"so"&amp;G29))))</f>
        <v>so2</v>
      </c>
      <c r="R29" s="3" t="str">
        <f>IF(H29="A","fi"&amp;H29,IF(H29="B","fi"&amp;H29,IF(H29="C","fi"&amp;H29,IF(H29="D","fi"&amp;H29,"fo"&amp;H29))))</f>
        <v>fiC</v>
      </c>
      <c r="V29" s="3" t="str">
        <f>"-"&amp;P29&amp;Q29&amp;R29&amp;S29&amp;T29</f>
        <v>-n1so2fiC</v>
      </c>
    </row>
    <row r="30" spans="1:22">
      <c r="A30" s="75" t="s">
        <v>1708</v>
      </c>
      <c r="B30" s="76" t="s">
        <v>1739</v>
      </c>
      <c r="C30" s="77" t="s">
        <v>108</v>
      </c>
      <c r="E30" s="75" t="s">
        <v>87</v>
      </c>
      <c r="F30" s="76" t="s">
        <v>55</v>
      </c>
      <c r="G30" s="76" t="s">
        <v>112</v>
      </c>
      <c r="H30" s="76" t="s">
        <v>111</v>
      </c>
      <c r="I30" s="77">
        <v>5</v>
      </c>
      <c r="K30" s="75" t="s">
        <v>1710</v>
      </c>
      <c r="L30" s="76" t="s">
        <v>18</v>
      </c>
      <c r="M30" s="77">
        <v>2</v>
      </c>
      <c r="O30" s="3" t="str">
        <f t="shared" ref="O30:O34" si="11">E30</f>
        <v>i2</v>
      </c>
      <c r="P30" s="3" t="str">
        <f t="shared" ref="P30:P34" si="12">"n"&amp;I30</f>
        <v>n5</v>
      </c>
      <c r="Q30" s="3" t="str">
        <f t="shared" ref="Q30:Q34" si="13">IF(G30="A","si"&amp;G30,IF(G30="B","si"&amp;G30,IF(G30="C","si"&amp;G30,IF(G30="D","si"&amp;G30,"so"&amp;G30))))</f>
        <v>siD</v>
      </c>
      <c r="R30" s="3" t="str">
        <f t="shared" ref="R30:R34" si="14">IF(H30="A","fi"&amp;H30,IF(H30="B","fi"&amp;H30,IF(H30="C","fi"&amp;H30,IF(H30="D","fi"&amp;H30,"fo"&amp;H30))))</f>
        <v>fiB</v>
      </c>
      <c r="V30" s="3" t="str">
        <f t="shared" ref="V30:V34" si="15">"-"&amp;P30&amp;Q30&amp;R30&amp;S30&amp;T30</f>
        <v>-n5siDfiB</v>
      </c>
    </row>
    <row r="31" spans="1:22">
      <c r="A31" s="75" t="s">
        <v>1711</v>
      </c>
      <c r="B31" s="76" t="s">
        <v>94</v>
      </c>
      <c r="C31" s="77" t="s">
        <v>111</v>
      </c>
      <c r="E31" s="75" t="s">
        <v>88</v>
      </c>
      <c r="F31" s="76" t="s">
        <v>121</v>
      </c>
      <c r="G31" s="76" t="s">
        <v>108</v>
      </c>
      <c r="H31" s="76">
        <v>2</v>
      </c>
      <c r="I31" s="77">
        <v>2</v>
      </c>
      <c r="K31" s="75" t="s">
        <v>1713</v>
      </c>
      <c r="L31" s="76" t="s">
        <v>1714</v>
      </c>
      <c r="M31" s="77">
        <v>3</v>
      </c>
      <c r="O31" s="3" t="str">
        <f t="shared" si="11"/>
        <v>i3</v>
      </c>
      <c r="P31" s="3" t="str">
        <f t="shared" si="12"/>
        <v>n2</v>
      </c>
      <c r="Q31" s="3" t="str">
        <f t="shared" si="13"/>
        <v>siA</v>
      </c>
      <c r="R31" s="3" t="str">
        <f t="shared" si="14"/>
        <v>fo2</v>
      </c>
      <c r="V31" s="3" t="str">
        <f t="shared" si="15"/>
        <v>-n2siAfo2</v>
      </c>
    </row>
    <row r="32" spans="1:22">
      <c r="A32" s="75" t="s">
        <v>1715</v>
      </c>
      <c r="B32" s="76" t="s">
        <v>1740</v>
      </c>
      <c r="C32" s="77" t="s">
        <v>108</v>
      </c>
      <c r="E32" s="75" t="s">
        <v>89</v>
      </c>
      <c r="F32" s="76" t="s">
        <v>62</v>
      </c>
      <c r="G32" s="76">
        <v>4</v>
      </c>
      <c r="H32" s="76" t="s">
        <v>108</v>
      </c>
      <c r="I32" s="77">
        <v>3</v>
      </c>
      <c r="K32" s="75" t="s">
        <v>1718</v>
      </c>
      <c r="L32" s="76" t="s">
        <v>1719</v>
      </c>
      <c r="M32" s="77">
        <v>1</v>
      </c>
      <c r="O32" s="3" t="str">
        <f t="shared" si="11"/>
        <v>i4</v>
      </c>
      <c r="P32" s="3" t="str">
        <f t="shared" si="12"/>
        <v>n3</v>
      </c>
      <c r="Q32" s="3" t="str">
        <f t="shared" si="13"/>
        <v>so4</v>
      </c>
      <c r="R32" s="3" t="str">
        <f t="shared" si="14"/>
        <v>fiA</v>
      </c>
      <c r="V32" s="3" t="str">
        <f t="shared" si="15"/>
        <v>-n3so4fiA</v>
      </c>
    </row>
    <row r="33" spans="1:22">
      <c r="A33" s="75" t="s">
        <v>1720</v>
      </c>
      <c r="B33" s="76" t="s">
        <v>1741</v>
      </c>
      <c r="C33" s="77" t="s">
        <v>320</v>
      </c>
      <c r="E33" s="75" t="s">
        <v>90</v>
      </c>
      <c r="F33" s="76" t="s">
        <v>77</v>
      </c>
      <c r="G33" s="76">
        <v>1</v>
      </c>
      <c r="H33" s="76">
        <v>3</v>
      </c>
      <c r="I33" s="77">
        <v>4</v>
      </c>
      <c r="O33" s="3" t="str">
        <f t="shared" si="11"/>
        <v>i5</v>
      </c>
      <c r="P33" s="3" t="str">
        <f t="shared" si="12"/>
        <v>n4</v>
      </c>
      <c r="Q33" s="3" t="str">
        <f t="shared" si="13"/>
        <v>so1</v>
      </c>
      <c r="R33" s="3" t="str">
        <f t="shared" si="14"/>
        <v>fo3</v>
      </c>
      <c r="V33" s="3" t="str">
        <f t="shared" si="15"/>
        <v>-n4so1fo3</v>
      </c>
    </row>
    <row r="34" spans="1:22">
      <c r="A34" s="75" t="s">
        <v>1722</v>
      </c>
      <c r="B34" s="76" t="s">
        <v>1742</v>
      </c>
      <c r="C34" s="77"/>
      <c r="E34" s="75" t="s">
        <v>91</v>
      </c>
      <c r="F34" s="76" t="s">
        <v>66</v>
      </c>
      <c r="G34" s="76" t="s">
        <v>111</v>
      </c>
      <c r="H34" s="76" t="s">
        <v>112</v>
      </c>
      <c r="I34" s="77">
        <v>6</v>
      </c>
      <c r="K34" s="75" t="s">
        <v>1724</v>
      </c>
      <c r="L34" s="77" t="s">
        <v>112</v>
      </c>
      <c r="O34" s="3" t="str">
        <f t="shared" si="11"/>
        <v>i6</v>
      </c>
      <c r="P34" s="3" t="str">
        <f t="shared" si="12"/>
        <v>n6</v>
      </c>
      <c r="Q34" s="3" t="str">
        <f t="shared" si="13"/>
        <v>siB</v>
      </c>
      <c r="R34" s="3" t="str">
        <f t="shared" si="14"/>
        <v>fiD</v>
      </c>
      <c r="V34" s="3" t="str">
        <f t="shared" si="15"/>
        <v>-n6siBfiD</v>
      </c>
    </row>
    <row r="35" spans="1:22">
      <c r="A35" s="78" t="s">
        <v>1725</v>
      </c>
      <c r="B35" s="79" t="s">
        <v>1743</v>
      </c>
      <c r="C35" s="80"/>
      <c r="K35" s="78" t="s">
        <v>1727</v>
      </c>
      <c r="L35" s="80" t="s">
        <v>1744</v>
      </c>
    </row>
    <row r="38" spans="1:22">
      <c r="A38" s="72" t="s">
        <v>1692</v>
      </c>
      <c r="B38" s="73" t="s">
        <v>1693</v>
      </c>
      <c r="C38" s="74" t="s">
        <v>1694</v>
      </c>
      <c r="D38" s="2"/>
      <c r="E38" s="81" t="s">
        <v>1745</v>
      </c>
      <c r="F38" s="81"/>
      <c r="G38" s="81"/>
      <c r="H38" s="81"/>
      <c r="I38" s="81"/>
      <c r="K38" s="72" t="s">
        <v>1692</v>
      </c>
      <c r="L38" s="73" t="s">
        <v>1693</v>
      </c>
      <c r="M38" s="74" t="s">
        <v>1695</v>
      </c>
    </row>
    <row r="39" spans="1:22">
      <c r="A39" s="75" t="s">
        <v>1696</v>
      </c>
      <c r="B39" s="76" t="s">
        <v>1746</v>
      </c>
      <c r="C39" s="77" t="s">
        <v>112</v>
      </c>
      <c r="E39" s="82"/>
      <c r="F39" s="82"/>
      <c r="G39" s="82"/>
      <c r="H39" s="82"/>
      <c r="I39" s="82"/>
      <c r="K39" s="75" t="s">
        <v>1698</v>
      </c>
      <c r="L39" s="76" t="s">
        <v>1699</v>
      </c>
      <c r="M39" s="77">
        <v>3</v>
      </c>
    </row>
    <row r="40" spans="1:22">
      <c r="A40" s="75" t="s">
        <v>1700</v>
      </c>
      <c r="B40" s="76" t="s">
        <v>1747</v>
      </c>
      <c r="C40" s="77" t="s">
        <v>108</v>
      </c>
      <c r="E40" s="72" t="s">
        <v>1692</v>
      </c>
      <c r="F40" s="73" t="s">
        <v>1693</v>
      </c>
      <c r="G40" s="73" t="s">
        <v>101</v>
      </c>
      <c r="H40" s="73" t="s">
        <v>102</v>
      </c>
      <c r="I40" s="74" t="s">
        <v>1695</v>
      </c>
      <c r="K40" s="75" t="s">
        <v>1702</v>
      </c>
      <c r="L40" s="76" t="s">
        <v>1703</v>
      </c>
      <c r="M40" s="77">
        <v>6</v>
      </c>
    </row>
    <row r="41" spans="1:22">
      <c r="A41" s="75" t="s">
        <v>1704</v>
      </c>
      <c r="B41" s="76" t="s">
        <v>1730</v>
      </c>
      <c r="C41" s="77" t="s">
        <v>111</v>
      </c>
      <c r="E41" s="75" t="s">
        <v>86</v>
      </c>
      <c r="F41" s="76" t="s">
        <v>60</v>
      </c>
      <c r="G41" s="76">
        <v>3</v>
      </c>
      <c r="H41" s="76" t="s">
        <v>107</v>
      </c>
      <c r="I41" s="77">
        <v>6</v>
      </c>
      <c r="K41" s="75" t="s">
        <v>1706</v>
      </c>
      <c r="L41" s="76" t="s">
        <v>1707</v>
      </c>
      <c r="M41" s="77">
        <v>5</v>
      </c>
      <c r="O41" s="3" t="str">
        <f>E41</f>
        <v>i1</v>
      </c>
      <c r="P41" s="3" t="str">
        <f>"n"&amp;I41</f>
        <v>n6</v>
      </c>
      <c r="Q41" s="3" t="str">
        <f>IF(G41="A","si"&amp;G41,IF(G41="B","si"&amp;G41,IF(G41="C","si"&amp;G41,IF(G41="D","si"&amp;G41,"so"&amp;G41))))</f>
        <v>so3</v>
      </c>
      <c r="R41" s="3" t="str">
        <f>IF(H41="A","fi"&amp;H41,IF(H41="B","fi"&amp;H41,IF(H41="C","fi"&amp;H41,IF(H41="D","fi"&amp;H41,"fo"&amp;H41))))</f>
        <v>fiC</v>
      </c>
      <c r="V41" s="3" t="str">
        <f>"-"&amp;P41&amp;Q41&amp;R41&amp;S41&amp;T41</f>
        <v>-n6so3fiC</v>
      </c>
    </row>
    <row r="42" spans="1:22">
      <c r="A42" s="75" t="s">
        <v>1708</v>
      </c>
      <c r="B42" s="76" t="s">
        <v>1748</v>
      </c>
      <c r="C42" s="77" t="s">
        <v>107</v>
      </c>
      <c r="E42" s="75" t="s">
        <v>87</v>
      </c>
      <c r="F42" s="76" t="s">
        <v>68</v>
      </c>
      <c r="G42" s="76" t="s">
        <v>108</v>
      </c>
      <c r="H42" s="76">
        <v>2</v>
      </c>
      <c r="I42" s="77">
        <v>4</v>
      </c>
      <c r="K42" s="75" t="s">
        <v>1710</v>
      </c>
      <c r="L42" s="76" t="s">
        <v>18</v>
      </c>
      <c r="M42" s="77">
        <v>4</v>
      </c>
      <c r="O42" s="3" t="str">
        <f t="shared" ref="O42:O46" si="16">E42</f>
        <v>i2</v>
      </c>
      <c r="P42" s="3" t="str">
        <f t="shared" ref="P42:P46" si="17">"n"&amp;I42</f>
        <v>n4</v>
      </c>
      <c r="Q42" s="3" t="str">
        <f t="shared" ref="Q42:Q46" si="18">IF(G42="A","si"&amp;G42,IF(G42="B","si"&amp;G42,IF(G42="C","si"&amp;G42,IF(G42="D","si"&amp;G42,"so"&amp;G42))))</f>
        <v>siA</v>
      </c>
      <c r="R42" s="3" t="str">
        <f t="shared" ref="R42:R46" si="19">IF(H42="A","fi"&amp;H42,IF(H42="B","fi"&amp;H42,IF(H42="C","fi"&amp;H42,IF(H42="D","fi"&amp;H42,"fo"&amp;H42))))</f>
        <v>fo2</v>
      </c>
      <c r="V42" s="3" t="str">
        <f t="shared" ref="V42:V46" si="20">"-"&amp;P42&amp;Q42&amp;R42&amp;S42&amp;T42</f>
        <v>-n4siAfo2</v>
      </c>
    </row>
    <row r="43" spans="1:22">
      <c r="A43" s="75" t="s">
        <v>1711</v>
      </c>
      <c r="B43" s="76" t="s">
        <v>266</v>
      </c>
      <c r="C43" s="77" t="s">
        <v>107</v>
      </c>
      <c r="E43" s="75" t="s">
        <v>88</v>
      </c>
      <c r="F43" s="76" t="s">
        <v>65</v>
      </c>
      <c r="G43" s="76">
        <v>2</v>
      </c>
      <c r="H43" s="76" t="s">
        <v>112</v>
      </c>
      <c r="I43" s="77">
        <v>3</v>
      </c>
      <c r="K43" s="75" t="s">
        <v>1713</v>
      </c>
      <c r="L43" s="76" t="s">
        <v>1714</v>
      </c>
      <c r="M43" s="77">
        <v>2</v>
      </c>
      <c r="O43" s="3" t="str">
        <f t="shared" si="16"/>
        <v>i3</v>
      </c>
      <c r="P43" s="3" t="str">
        <f t="shared" si="17"/>
        <v>n3</v>
      </c>
      <c r="Q43" s="3" t="str">
        <f t="shared" si="18"/>
        <v>so2</v>
      </c>
      <c r="R43" s="3" t="str">
        <f t="shared" si="19"/>
        <v>fiD</v>
      </c>
      <c r="V43" s="3" t="str">
        <f t="shared" si="20"/>
        <v>-n3so2fiD</v>
      </c>
    </row>
    <row r="44" spans="1:22">
      <c r="A44" s="75" t="s">
        <v>1715</v>
      </c>
      <c r="B44" s="76" t="s">
        <v>1749</v>
      </c>
      <c r="C44" s="77" t="s">
        <v>111</v>
      </c>
      <c r="E44" s="75" t="s">
        <v>89</v>
      </c>
      <c r="F44" s="76" t="s">
        <v>57</v>
      </c>
      <c r="G44" s="76" t="s">
        <v>107</v>
      </c>
      <c r="H44" s="76" t="s">
        <v>108</v>
      </c>
      <c r="I44" s="77">
        <v>5</v>
      </c>
      <c r="K44" s="75" t="s">
        <v>1718</v>
      </c>
      <c r="L44" s="76" t="s">
        <v>1719</v>
      </c>
      <c r="M44" s="77">
        <v>1</v>
      </c>
      <c r="O44" s="3" t="str">
        <f t="shared" si="16"/>
        <v>i4</v>
      </c>
      <c r="P44" s="3" t="str">
        <f t="shared" si="17"/>
        <v>n5</v>
      </c>
      <c r="Q44" s="3" t="str">
        <f t="shared" si="18"/>
        <v>siC</v>
      </c>
      <c r="R44" s="3" t="str">
        <f t="shared" si="19"/>
        <v>fiA</v>
      </c>
      <c r="V44" s="3" t="str">
        <f t="shared" si="20"/>
        <v>-n5siCfiA</v>
      </c>
    </row>
    <row r="45" spans="1:22">
      <c r="A45" s="75" t="s">
        <v>1720</v>
      </c>
      <c r="B45" s="76" t="s">
        <v>1750</v>
      </c>
      <c r="C45" s="77" t="s">
        <v>108</v>
      </c>
      <c r="E45" s="75" t="s">
        <v>90</v>
      </c>
      <c r="F45" s="76" t="s">
        <v>78</v>
      </c>
      <c r="G45" s="76" t="s">
        <v>112</v>
      </c>
      <c r="H45" s="76" t="s">
        <v>111</v>
      </c>
      <c r="I45" s="77">
        <v>1</v>
      </c>
      <c r="O45" s="3" t="str">
        <f t="shared" si="16"/>
        <v>i5</v>
      </c>
      <c r="P45" s="3" t="str">
        <f t="shared" si="17"/>
        <v>n1</v>
      </c>
      <c r="Q45" s="3" t="str">
        <f t="shared" si="18"/>
        <v>siD</v>
      </c>
      <c r="R45" s="3" t="str">
        <f t="shared" si="19"/>
        <v>fiB</v>
      </c>
      <c r="V45" s="3" t="str">
        <f t="shared" si="20"/>
        <v>-n1siDfiB</v>
      </c>
    </row>
    <row r="46" spans="1:22">
      <c r="A46" s="75" t="s">
        <v>1722</v>
      </c>
      <c r="B46" s="76" t="s">
        <v>1751</v>
      </c>
      <c r="C46" s="77"/>
      <c r="E46" s="75" t="s">
        <v>91</v>
      </c>
      <c r="F46" s="76" t="s">
        <v>82</v>
      </c>
      <c r="G46" s="76">
        <v>4</v>
      </c>
      <c r="H46" s="76">
        <v>1</v>
      </c>
      <c r="I46" s="77">
        <v>2</v>
      </c>
      <c r="K46" s="75" t="s">
        <v>1724</v>
      </c>
      <c r="L46" s="77" t="s">
        <v>1717</v>
      </c>
      <c r="O46" s="3" t="str">
        <f t="shared" si="16"/>
        <v>i6</v>
      </c>
      <c r="P46" s="3" t="str">
        <f t="shared" si="17"/>
        <v>n2</v>
      </c>
      <c r="Q46" s="3" t="str">
        <f t="shared" si="18"/>
        <v>so4</v>
      </c>
      <c r="R46" s="3" t="str">
        <f t="shared" si="19"/>
        <v>fo1</v>
      </c>
      <c r="V46" s="3" t="str">
        <f t="shared" si="20"/>
        <v>-n2so4fo1</v>
      </c>
    </row>
    <row r="47" spans="1:22">
      <c r="A47" s="78" t="s">
        <v>1725</v>
      </c>
      <c r="B47" s="79" t="s">
        <v>1752</v>
      </c>
      <c r="C47" s="80"/>
      <c r="K47" s="78" t="s">
        <v>1727</v>
      </c>
      <c r="L47" s="80" t="s">
        <v>320</v>
      </c>
    </row>
  </sheetData>
  <mergeCells count="4">
    <mergeCell ref="E2:I3"/>
    <mergeCell ref="E14:I15"/>
    <mergeCell ref="E26:I27"/>
    <mergeCell ref="E38:I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7C5B-8D3C-4C22-B600-A43BE2CA2E73}">
  <dimension ref="A1:Q3"/>
  <sheetViews>
    <sheetView workbookViewId="0">
      <selection activeCell="M3" sqref="M3"/>
    </sheetView>
  </sheetViews>
  <sheetFormatPr defaultRowHeight="14.5"/>
  <cols>
    <col min="1" max="1" width="9.36328125" bestFit="1" customWidth="1"/>
    <col min="2" max="2" width="3.26953125" bestFit="1" customWidth="1"/>
    <col min="3" max="3" width="4.36328125" bestFit="1" customWidth="1"/>
    <col min="4" max="4" width="3.26953125" bestFit="1" customWidth="1"/>
    <col min="5" max="5" width="4.453125" bestFit="1" customWidth="1"/>
    <col min="6" max="6" width="3.26953125" bestFit="1" customWidth="1"/>
    <col min="7" max="7" width="7.7265625" bestFit="1" customWidth="1"/>
    <col min="8" max="8" width="3.26953125" bestFit="1" customWidth="1"/>
    <col min="9" max="9" width="5" bestFit="1" customWidth="1"/>
    <col min="10" max="10" width="3.26953125" bestFit="1" customWidth="1"/>
    <col min="11" max="11" width="4.90625" bestFit="1" customWidth="1"/>
    <col min="12" max="12" width="3.26953125" bestFit="1" customWidth="1"/>
    <col min="13" max="13" width="5.26953125" bestFit="1" customWidth="1"/>
    <col min="14" max="14" width="3.26953125" bestFit="1" customWidth="1"/>
    <col min="15" max="15" width="6.6328125" bestFit="1" customWidth="1"/>
    <col min="16" max="16" width="7.453125" bestFit="1" customWidth="1"/>
    <col min="17" max="17" width="8.1796875" bestFit="1" customWidth="1"/>
  </cols>
  <sheetData>
    <row r="1" spans="1:17" s="83" customFormat="1" ht="36"/>
    <row r="2" spans="1:17" ht="66.5">
      <c r="A2" s="84" t="s">
        <v>1755</v>
      </c>
      <c r="B2" s="84"/>
      <c r="C2" s="84" t="s">
        <v>1765</v>
      </c>
      <c r="D2" s="84"/>
      <c r="E2" s="84" t="s">
        <v>1756</v>
      </c>
      <c r="F2" s="84"/>
      <c r="G2" s="84" t="s">
        <v>152</v>
      </c>
      <c r="H2" s="84"/>
      <c r="I2" s="84" t="s">
        <v>84</v>
      </c>
      <c r="J2" s="84"/>
      <c r="K2" s="84" t="s">
        <v>1760</v>
      </c>
      <c r="L2" s="84"/>
      <c r="M2" s="84" t="s">
        <v>1761</v>
      </c>
      <c r="N2" s="84"/>
      <c r="O2" s="84" t="s">
        <v>1762</v>
      </c>
      <c r="P2" s="84" t="s">
        <v>1763</v>
      </c>
      <c r="Q2" s="84" t="s">
        <v>1764</v>
      </c>
    </row>
    <row r="3" spans="1:17" ht="33.5">
      <c r="A3" s="85" t="s">
        <v>1753</v>
      </c>
      <c r="B3" s="85" t="s">
        <v>1754</v>
      </c>
      <c r="C3" s="85">
        <v>1</v>
      </c>
      <c r="D3" s="85" t="s">
        <v>1754</v>
      </c>
      <c r="E3" s="85">
        <v>1</v>
      </c>
      <c r="F3" s="85" t="s">
        <v>1754</v>
      </c>
      <c r="G3" s="85" t="s">
        <v>1757</v>
      </c>
      <c r="H3" s="85" t="s">
        <v>1754</v>
      </c>
      <c r="I3" s="85" t="s">
        <v>1693</v>
      </c>
      <c r="J3" s="85" t="s">
        <v>1754</v>
      </c>
      <c r="K3" s="85" t="s">
        <v>108</v>
      </c>
      <c r="L3" s="85" t="s">
        <v>1754</v>
      </c>
      <c r="M3" s="85" t="s">
        <v>86</v>
      </c>
      <c r="N3" s="85" t="s">
        <v>1754</v>
      </c>
      <c r="O3" s="85" t="s">
        <v>1696</v>
      </c>
      <c r="P3" s="85" t="s">
        <v>1758</v>
      </c>
      <c r="Q3" s="85" t="s">
        <v>1759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01E2-BAE8-422E-8CD9-6333DF492889}">
  <dimension ref="A1:V70"/>
  <sheetViews>
    <sheetView topLeftCell="A33" zoomScale="70" zoomScaleNormal="70" workbookViewId="0">
      <selection activeCell="W47" sqref="W47"/>
    </sheetView>
  </sheetViews>
  <sheetFormatPr defaultRowHeight="14.5"/>
  <cols>
    <col min="1" max="1" width="10.1796875" style="43" bestFit="1" customWidth="1"/>
    <col min="2" max="2" width="4.7265625" style="3" customWidth="1"/>
    <col min="3" max="5" width="4.7265625" style="3" bestFit="1" customWidth="1"/>
    <col min="6" max="6" width="12.81640625" style="3" bestFit="1" customWidth="1"/>
    <col min="7" max="10" width="4.7265625" style="3" bestFit="1" customWidth="1"/>
    <col min="11" max="11" width="11.1796875" style="3" bestFit="1" customWidth="1"/>
    <col min="12" max="15" width="4.7265625" style="3" bestFit="1" customWidth="1"/>
    <col min="16" max="16" width="10.6328125" style="3" bestFit="1" customWidth="1"/>
    <col min="17" max="20" width="4.7265625" style="3" bestFit="1" customWidth="1"/>
    <col min="21" max="21" width="3" customWidth="1"/>
  </cols>
  <sheetData>
    <row r="1" spans="1:21">
      <c r="A1" s="42"/>
      <c r="U1" s="3"/>
    </row>
    <row r="2" spans="1:21" ht="15" thickBot="1">
      <c r="B2" s="3" t="s">
        <v>103</v>
      </c>
      <c r="G2" s="3" t="s">
        <v>104</v>
      </c>
      <c r="L2" s="3" t="s">
        <v>105</v>
      </c>
      <c r="Q2" s="3" t="s">
        <v>106</v>
      </c>
    </row>
    <row r="3" spans="1:21" ht="15" thickTop="1">
      <c r="A3" s="43">
        <v>1</v>
      </c>
      <c r="B3" s="6">
        <v>1</v>
      </c>
      <c r="C3" s="7"/>
      <c r="D3" s="7"/>
      <c r="E3" s="8"/>
      <c r="G3" s="6">
        <v>1</v>
      </c>
      <c r="H3" s="7"/>
      <c r="I3" s="7"/>
      <c r="J3" s="8"/>
      <c r="L3" s="6">
        <v>0</v>
      </c>
      <c r="M3" s="7"/>
      <c r="N3" s="7"/>
      <c r="O3" s="8"/>
      <c r="Q3" s="6">
        <v>0</v>
      </c>
      <c r="R3" s="7"/>
      <c r="S3" s="7"/>
      <c r="T3" s="8"/>
    </row>
    <row r="4" spans="1:21">
      <c r="A4" s="43">
        <v>2</v>
      </c>
      <c r="B4" s="9">
        <v>0</v>
      </c>
      <c r="E4" s="10"/>
      <c r="G4" s="9">
        <v>0</v>
      </c>
      <c r="J4" s="10"/>
      <c r="L4" s="9">
        <v>1</v>
      </c>
      <c r="O4" s="10"/>
      <c r="Q4" s="9">
        <v>1</v>
      </c>
      <c r="T4" s="10"/>
    </row>
    <row r="5" spans="1:21">
      <c r="A5" s="43">
        <v>3</v>
      </c>
      <c r="B5" s="9">
        <v>1</v>
      </c>
      <c r="E5" s="10"/>
      <c r="G5" s="9">
        <v>0</v>
      </c>
      <c r="J5" s="10"/>
      <c r="L5" s="9">
        <v>1</v>
      </c>
      <c r="O5" s="10"/>
      <c r="Q5" s="9">
        <v>0</v>
      </c>
      <c r="T5" s="10"/>
    </row>
    <row r="6" spans="1:21">
      <c r="A6" s="43">
        <v>4</v>
      </c>
      <c r="B6" s="9">
        <v>0</v>
      </c>
      <c r="E6" s="10"/>
      <c r="G6" s="9">
        <v>1</v>
      </c>
      <c r="J6" s="10"/>
      <c r="L6" s="9">
        <v>0</v>
      </c>
      <c r="O6" s="10"/>
      <c r="Q6" s="9">
        <v>1</v>
      </c>
      <c r="T6" s="10"/>
    </row>
    <row r="7" spans="1:21">
      <c r="A7" s="43">
        <v>5</v>
      </c>
      <c r="B7" s="9">
        <v>1</v>
      </c>
      <c r="E7" s="10"/>
      <c r="G7" s="9">
        <v>0</v>
      </c>
      <c r="J7" s="10"/>
      <c r="L7" s="9">
        <v>0</v>
      </c>
      <c r="O7" s="10"/>
      <c r="Q7" s="9">
        <v>1</v>
      </c>
      <c r="T7" s="10"/>
    </row>
    <row r="8" spans="1:21" ht="15" thickBot="1">
      <c r="A8" s="43">
        <v>6</v>
      </c>
      <c r="B8" s="11">
        <v>0</v>
      </c>
      <c r="C8" s="12"/>
      <c r="D8" s="12"/>
      <c r="E8" s="13"/>
      <c r="G8" s="11">
        <v>1</v>
      </c>
      <c r="H8" s="12"/>
      <c r="I8" s="12"/>
      <c r="J8" s="13"/>
      <c r="L8" s="11">
        <v>1</v>
      </c>
      <c r="M8" s="12"/>
      <c r="N8" s="12"/>
      <c r="O8" s="13"/>
      <c r="Q8" s="11">
        <v>0</v>
      </c>
      <c r="R8" s="12"/>
      <c r="S8" s="12"/>
      <c r="T8" s="13"/>
    </row>
    <row r="9" spans="1:21" ht="15" thickTop="1"/>
    <row r="10" spans="1:21" ht="15" thickBot="1">
      <c r="B10" s="3" t="s">
        <v>103</v>
      </c>
      <c r="G10" s="3" t="s">
        <v>104</v>
      </c>
      <c r="L10" s="3" t="s">
        <v>105</v>
      </c>
      <c r="Q10" s="3" t="s">
        <v>106</v>
      </c>
    </row>
    <row r="11" spans="1:21" ht="15" thickTop="1">
      <c r="A11" s="43">
        <v>1</v>
      </c>
      <c r="B11" s="6">
        <v>1</v>
      </c>
      <c r="C11" s="7"/>
      <c r="D11" s="7"/>
      <c r="E11" s="8"/>
      <c r="G11" s="6">
        <v>1</v>
      </c>
      <c r="H11" s="7"/>
      <c r="I11" s="7">
        <v>1</v>
      </c>
      <c r="J11" s="8"/>
      <c r="L11" s="6">
        <v>0</v>
      </c>
      <c r="M11" s="7"/>
      <c r="N11" s="7"/>
      <c r="O11" s="8"/>
      <c r="Q11" s="6">
        <v>0</v>
      </c>
      <c r="R11" s="7"/>
      <c r="S11" s="7"/>
      <c r="T11" s="8"/>
    </row>
    <row r="12" spans="1:21">
      <c r="A12" s="43">
        <v>2</v>
      </c>
      <c r="B12" s="9">
        <v>0</v>
      </c>
      <c r="E12" s="10"/>
      <c r="G12" s="9">
        <v>0</v>
      </c>
      <c r="J12" s="10"/>
      <c r="L12" s="9">
        <v>1</v>
      </c>
      <c r="N12" s="3">
        <v>1</v>
      </c>
      <c r="O12" s="10"/>
      <c r="Q12" s="9">
        <v>1</v>
      </c>
      <c r="T12" s="10"/>
    </row>
    <row r="13" spans="1:21">
      <c r="A13" s="43">
        <v>3</v>
      </c>
      <c r="B13" s="9">
        <v>1</v>
      </c>
      <c r="D13" s="3">
        <v>1</v>
      </c>
      <c r="E13" s="10"/>
      <c r="G13" s="9">
        <v>0</v>
      </c>
      <c r="J13" s="10"/>
      <c r="L13" s="9">
        <v>1</v>
      </c>
      <c r="O13" s="10"/>
      <c r="Q13" s="9">
        <v>0</v>
      </c>
      <c r="T13" s="10"/>
    </row>
    <row r="14" spans="1:21">
      <c r="A14" s="43">
        <v>4</v>
      </c>
      <c r="B14" s="9">
        <v>0</v>
      </c>
      <c r="E14" s="10"/>
      <c r="G14" s="9">
        <v>1</v>
      </c>
      <c r="J14" s="10"/>
      <c r="L14" s="9">
        <v>0</v>
      </c>
      <c r="O14" s="10"/>
      <c r="Q14" s="9">
        <v>1</v>
      </c>
      <c r="S14" s="3">
        <v>1</v>
      </c>
      <c r="T14" s="10"/>
    </row>
    <row r="15" spans="1:21">
      <c r="A15" s="43">
        <v>5</v>
      </c>
      <c r="B15" s="9">
        <v>1</v>
      </c>
      <c r="D15" s="3">
        <v>1</v>
      </c>
      <c r="E15" s="10"/>
      <c r="G15" s="9">
        <v>0</v>
      </c>
      <c r="J15" s="10"/>
      <c r="L15" s="9">
        <v>0</v>
      </c>
      <c r="O15" s="10"/>
      <c r="Q15" s="9">
        <v>1</v>
      </c>
      <c r="S15" s="3">
        <v>1</v>
      </c>
      <c r="T15" s="10"/>
    </row>
    <row r="16" spans="1:21" ht="15" thickBot="1">
      <c r="A16" s="43">
        <v>6</v>
      </c>
      <c r="B16" s="11">
        <v>0</v>
      </c>
      <c r="C16" s="12"/>
      <c r="D16" s="12"/>
      <c r="E16" s="13"/>
      <c r="G16" s="11">
        <v>1</v>
      </c>
      <c r="H16" s="12"/>
      <c r="I16" s="12">
        <v>1</v>
      </c>
      <c r="J16" s="13"/>
      <c r="L16" s="11">
        <v>1</v>
      </c>
      <c r="M16" s="12"/>
      <c r="N16" s="12">
        <v>1</v>
      </c>
      <c r="O16" s="13"/>
      <c r="Q16" s="11">
        <v>0</v>
      </c>
      <c r="R16" s="12"/>
      <c r="S16" s="12"/>
      <c r="T16" s="13"/>
    </row>
    <row r="17" spans="1:20" ht="15" thickTop="1"/>
    <row r="18" spans="1:20" ht="15" thickBot="1">
      <c r="B18" s="3" t="s">
        <v>103</v>
      </c>
      <c r="G18" s="3" t="s">
        <v>104</v>
      </c>
      <c r="L18" s="3" t="s">
        <v>105</v>
      </c>
      <c r="Q18" s="3" t="s">
        <v>106</v>
      </c>
    </row>
    <row r="19" spans="1:20" ht="15" thickTop="1">
      <c r="A19" s="43">
        <v>1</v>
      </c>
      <c r="B19" s="6">
        <v>1</v>
      </c>
      <c r="C19" s="7"/>
      <c r="D19" s="7"/>
      <c r="E19" s="8"/>
      <c r="G19" s="6">
        <v>1</v>
      </c>
      <c r="H19" s="7"/>
      <c r="I19" s="7">
        <v>1</v>
      </c>
      <c r="J19" s="8"/>
      <c r="L19" s="6">
        <v>0</v>
      </c>
      <c r="M19" s="7"/>
      <c r="N19" s="7"/>
      <c r="O19" s="8"/>
      <c r="Q19" s="6">
        <v>0</v>
      </c>
      <c r="R19" s="7"/>
      <c r="S19" s="7"/>
      <c r="T19" s="8"/>
    </row>
    <row r="20" spans="1:20">
      <c r="A20" s="43">
        <v>2</v>
      </c>
      <c r="B20" s="9">
        <v>0</v>
      </c>
      <c r="E20" s="10"/>
      <c r="G20" s="9">
        <v>0</v>
      </c>
      <c r="I20" s="3">
        <v>0</v>
      </c>
      <c r="J20" s="10"/>
      <c r="L20" s="9">
        <v>1</v>
      </c>
      <c r="N20" s="3">
        <v>1</v>
      </c>
      <c r="O20" s="10"/>
      <c r="Q20" s="9">
        <v>1</v>
      </c>
      <c r="T20" s="10"/>
    </row>
    <row r="21" spans="1:20">
      <c r="A21" s="43">
        <v>3</v>
      </c>
      <c r="B21" s="9">
        <v>1</v>
      </c>
      <c r="D21" s="3">
        <v>1</v>
      </c>
      <c r="E21" s="10"/>
      <c r="G21" s="9">
        <v>0</v>
      </c>
      <c r="J21" s="10"/>
      <c r="L21" s="9">
        <v>1</v>
      </c>
      <c r="O21" s="10"/>
      <c r="Q21" s="9">
        <v>0</v>
      </c>
      <c r="T21" s="10"/>
    </row>
    <row r="22" spans="1:20">
      <c r="A22" s="43">
        <v>4</v>
      </c>
      <c r="B22" s="9">
        <v>0</v>
      </c>
      <c r="D22" s="3">
        <v>0</v>
      </c>
      <c r="E22" s="10"/>
      <c r="G22" s="9">
        <v>1</v>
      </c>
      <c r="J22" s="10"/>
      <c r="L22" s="9">
        <v>0</v>
      </c>
      <c r="O22" s="10"/>
      <c r="Q22" s="9">
        <v>1</v>
      </c>
      <c r="S22" s="3">
        <v>1</v>
      </c>
      <c r="T22" s="10"/>
    </row>
    <row r="23" spans="1:20">
      <c r="A23" s="43">
        <v>5</v>
      </c>
      <c r="B23" s="9">
        <v>1</v>
      </c>
      <c r="D23" s="3">
        <v>1</v>
      </c>
      <c r="E23" s="10"/>
      <c r="G23" s="9">
        <v>0</v>
      </c>
      <c r="J23" s="10"/>
      <c r="L23" s="9">
        <v>0</v>
      </c>
      <c r="N23" s="3">
        <v>0</v>
      </c>
      <c r="O23" s="10"/>
      <c r="Q23" s="9">
        <v>1</v>
      </c>
      <c r="S23" s="3">
        <v>1</v>
      </c>
      <c r="T23" s="10"/>
    </row>
    <row r="24" spans="1:20" ht="15" thickBot="1">
      <c r="A24" s="43">
        <v>6</v>
      </c>
      <c r="B24" s="11">
        <v>0</v>
      </c>
      <c r="C24" s="12"/>
      <c r="D24" s="12"/>
      <c r="E24" s="13"/>
      <c r="G24" s="11">
        <v>1</v>
      </c>
      <c r="H24" s="12"/>
      <c r="I24" s="12">
        <v>1</v>
      </c>
      <c r="J24" s="13"/>
      <c r="L24" s="11">
        <v>1</v>
      </c>
      <c r="M24" s="12"/>
      <c r="N24" s="12">
        <v>1</v>
      </c>
      <c r="O24" s="13"/>
      <c r="Q24" s="11">
        <v>0</v>
      </c>
      <c r="R24" s="12"/>
      <c r="S24" s="12">
        <v>0</v>
      </c>
      <c r="T24" s="13"/>
    </row>
    <row r="25" spans="1:20" ht="15" thickTop="1"/>
    <row r="26" spans="1:20" ht="15" thickBot="1">
      <c r="B26" s="3" t="s">
        <v>103</v>
      </c>
      <c r="G26" s="3" t="s">
        <v>104</v>
      </c>
      <c r="L26" s="3" t="s">
        <v>105</v>
      </c>
      <c r="Q26" s="3" t="s">
        <v>106</v>
      </c>
    </row>
    <row r="27" spans="1:20" ht="15" thickTop="1">
      <c r="A27" s="43" t="s">
        <v>86</v>
      </c>
      <c r="B27" s="6">
        <v>1</v>
      </c>
      <c r="C27" s="7"/>
      <c r="D27" s="7">
        <v>0</v>
      </c>
      <c r="E27" s="8"/>
      <c r="G27" s="6">
        <v>1</v>
      </c>
      <c r="H27" s="7"/>
      <c r="I27" s="7">
        <v>1</v>
      </c>
      <c r="J27" s="8"/>
      <c r="L27" s="6">
        <v>0</v>
      </c>
      <c r="M27" s="7"/>
      <c r="N27" s="7">
        <v>1</v>
      </c>
      <c r="O27" s="8"/>
      <c r="Q27" s="6">
        <v>0</v>
      </c>
      <c r="R27" s="7"/>
      <c r="S27" s="7">
        <v>1</v>
      </c>
      <c r="T27" s="8"/>
    </row>
    <row r="28" spans="1:20">
      <c r="A28" s="43" t="s">
        <v>87</v>
      </c>
      <c r="B28" s="9">
        <v>0</v>
      </c>
      <c r="D28" s="3">
        <v>1</v>
      </c>
      <c r="E28" s="10"/>
      <c r="G28" s="9">
        <v>0</v>
      </c>
      <c r="I28" s="3">
        <v>0</v>
      </c>
      <c r="J28" s="10"/>
      <c r="L28" s="9">
        <v>1</v>
      </c>
      <c r="N28" s="3">
        <v>1</v>
      </c>
      <c r="O28" s="10"/>
      <c r="Q28" s="9">
        <v>1</v>
      </c>
      <c r="S28" s="3">
        <v>0</v>
      </c>
      <c r="T28" s="10"/>
    </row>
    <row r="29" spans="1:20">
      <c r="A29" s="43" t="s">
        <v>88</v>
      </c>
      <c r="B29" s="9">
        <v>1</v>
      </c>
      <c r="D29" s="3">
        <v>1</v>
      </c>
      <c r="E29" s="10"/>
      <c r="G29" s="9">
        <v>0</v>
      </c>
      <c r="I29" s="3">
        <v>1</v>
      </c>
      <c r="J29" s="10"/>
      <c r="L29" s="9">
        <v>1</v>
      </c>
      <c r="N29" s="3">
        <v>0</v>
      </c>
      <c r="O29" s="10"/>
      <c r="Q29" s="9">
        <v>0</v>
      </c>
      <c r="S29" s="3">
        <v>1</v>
      </c>
      <c r="T29" s="10"/>
    </row>
    <row r="30" spans="1:20">
      <c r="A30" s="43" t="s">
        <v>89</v>
      </c>
      <c r="B30" s="9">
        <v>0</v>
      </c>
      <c r="D30" s="3">
        <v>0</v>
      </c>
      <c r="E30" s="10"/>
      <c r="G30" s="9">
        <v>1</v>
      </c>
      <c r="I30" s="3">
        <v>0</v>
      </c>
      <c r="J30" s="10"/>
      <c r="L30" s="9">
        <v>0</v>
      </c>
      <c r="N30" s="3">
        <v>1</v>
      </c>
      <c r="O30" s="10"/>
      <c r="Q30" s="9">
        <v>1</v>
      </c>
      <c r="S30" s="3">
        <v>1</v>
      </c>
      <c r="T30" s="10"/>
    </row>
    <row r="31" spans="1:20">
      <c r="A31" s="43" t="s">
        <v>90</v>
      </c>
      <c r="B31" s="9">
        <v>1</v>
      </c>
      <c r="D31" s="3">
        <v>1</v>
      </c>
      <c r="E31" s="10"/>
      <c r="G31" s="9">
        <v>0</v>
      </c>
      <c r="I31" s="3">
        <v>1</v>
      </c>
      <c r="J31" s="10"/>
      <c r="L31" s="9">
        <v>0</v>
      </c>
      <c r="N31" s="3">
        <v>0</v>
      </c>
      <c r="O31" s="10"/>
      <c r="Q31" s="9">
        <v>1</v>
      </c>
      <c r="S31" s="3">
        <v>1</v>
      </c>
      <c r="T31" s="10"/>
    </row>
    <row r="32" spans="1:20" ht="15" thickBot="1">
      <c r="A32" s="43" t="s">
        <v>91</v>
      </c>
      <c r="B32" s="11">
        <v>0</v>
      </c>
      <c r="C32" s="12"/>
      <c r="D32" s="12">
        <v>1</v>
      </c>
      <c r="E32" s="13"/>
      <c r="G32" s="11">
        <v>1</v>
      </c>
      <c r="H32" s="12"/>
      <c r="I32" s="12">
        <v>1</v>
      </c>
      <c r="J32" s="13"/>
      <c r="L32" s="11">
        <v>1</v>
      </c>
      <c r="M32" s="12"/>
      <c r="N32" s="12">
        <v>1</v>
      </c>
      <c r="O32" s="13"/>
      <c r="Q32" s="11">
        <v>0</v>
      </c>
      <c r="R32" s="12"/>
      <c r="S32" s="12">
        <v>0</v>
      </c>
      <c r="T32" s="13"/>
    </row>
    <row r="33" spans="1:21" ht="15" thickTop="1"/>
    <row r="34" spans="1:21" ht="15" thickBot="1">
      <c r="B34" s="3" t="s">
        <v>103</v>
      </c>
      <c r="G34" s="3" t="s">
        <v>104</v>
      </c>
      <c r="L34" s="3" t="s">
        <v>105</v>
      </c>
      <c r="Q34" s="3" t="s">
        <v>106</v>
      </c>
    </row>
    <row r="35" spans="1:21" ht="15" thickTop="1">
      <c r="A35" s="44" t="s">
        <v>86</v>
      </c>
      <c r="B35" s="14" t="s">
        <v>110</v>
      </c>
      <c r="C35" s="7"/>
      <c r="D35" s="15" t="s">
        <v>109</v>
      </c>
      <c r="E35" s="8">
        <v>3</v>
      </c>
      <c r="F35" s="20"/>
      <c r="G35" s="14" t="s">
        <v>110</v>
      </c>
      <c r="H35" s="7"/>
      <c r="I35" s="15" t="s">
        <v>110</v>
      </c>
      <c r="J35" s="8"/>
      <c r="K35" s="20"/>
      <c r="L35" s="14" t="s">
        <v>109</v>
      </c>
      <c r="M35" s="7">
        <v>2</v>
      </c>
      <c r="N35" s="15" t="s">
        <v>110</v>
      </c>
      <c r="O35" s="8"/>
      <c r="P35" s="20"/>
      <c r="Q35" s="14" t="s">
        <v>109</v>
      </c>
      <c r="R35" s="7">
        <v>3</v>
      </c>
      <c r="S35" s="15" t="s">
        <v>110</v>
      </c>
      <c r="T35" s="8"/>
      <c r="U35" s="5"/>
    </row>
    <row r="36" spans="1:21">
      <c r="A36" s="44" t="s">
        <v>87</v>
      </c>
      <c r="B36" s="17" t="s">
        <v>109</v>
      </c>
      <c r="C36" s="3">
        <v>1</v>
      </c>
      <c r="D36" s="16" t="s">
        <v>110</v>
      </c>
      <c r="E36" s="10"/>
      <c r="F36" s="20"/>
      <c r="G36" s="17" t="s">
        <v>109</v>
      </c>
      <c r="H36" s="3">
        <v>4</v>
      </c>
      <c r="I36" s="16" t="s">
        <v>109</v>
      </c>
      <c r="J36" s="10">
        <v>2</v>
      </c>
      <c r="K36" s="20"/>
      <c r="L36" s="17" t="s">
        <v>110</v>
      </c>
      <c r="N36" s="16" t="s">
        <v>110</v>
      </c>
      <c r="O36" s="10"/>
      <c r="P36" s="20"/>
      <c r="Q36" s="17" t="s">
        <v>110</v>
      </c>
      <c r="S36" s="16" t="s">
        <v>109</v>
      </c>
      <c r="T36" s="10">
        <v>2</v>
      </c>
      <c r="U36" s="5"/>
    </row>
    <row r="37" spans="1:21">
      <c r="A37" s="45" t="s">
        <v>88</v>
      </c>
      <c r="B37" s="17" t="s">
        <v>110</v>
      </c>
      <c r="D37" s="16" t="s">
        <v>110</v>
      </c>
      <c r="E37" s="10"/>
      <c r="F37" s="21"/>
      <c r="G37" s="17" t="s">
        <v>109</v>
      </c>
      <c r="H37" s="3">
        <v>1</v>
      </c>
      <c r="I37" s="16" t="s">
        <v>110</v>
      </c>
      <c r="J37" s="10"/>
      <c r="K37" s="21"/>
      <c r="L37" s="17" t="s">
        <v>110</v>
      </c>
      <c r="N37" s="16" t="s">
        <v>109</v>
      </c>
      <c r="O37" s="10">
        <v>2</v>
      </c>
      <c r="P37" s="21"/>
      <c r="Q37" s="17" t="s">
        <v>109</v>
      </c>
      <c r="R37" s="3">
        <v>2</v>
      </c>
      <c r="S37" s="16" t="s">
        <v>110</v>
      </c>
      <c r="T37" s="10"/>
      <c r="U37" s="4"/>
    </row>
    <row r="38" spans="1:21">
      <c r="A38" s="45" t="s">
        <v>89</v>
      </c>
      <c r="B38" s="17" t="s">
        <v>109</v>
      </c>
      <c r="C38" s="3">
        <v>3</v>
      </c>
      <c r="D38" s="16" t="s">
        <v>109</v>
      </c>
      <c r="E38" s="10">
        <v>4</v>
      </c>
      <c r="F38" s="21"/>
      <c r="G38" s="17" t="s">
        <v>110</v>
      </c>
      <c r="I38" s="16" t="s">
        <v>109</v>
      </c>
      <c r="J38" s="10">
        <v>4</v>
      </c>
      <c r="K38" s="21"/>
      <c r="L38" s="17" t="s">
        <v>109</v>
      </c>
      <c r="M38" s="3">
        <v>4</v>
      </c>
      <c r="N38" s="16" t="s">
        <v>110</v>
      </c>
      <c r="O38" s="10"/>
      <c r="P38" s="21"/>
      <c r="Q38" s="17" t="s">
        <v>110</v>
      </c>
      <c r="S38" s="16" t="s">
        <v>110</v>
      </c>
      <c r="T38" s="10"/>
      <c r="U38" s="4"/>
    </row>
    <row r="39" spans="1:21">
      <c r="A39" s="46" t="s">
        <v>90</v>
      </c>
      <c r="B39" s="17" t="s">
        <v>110</v>
      </c>
      <c r="D39" s="16" t="s">
        <v>110</v>
      </c>
      <c r="E39" s="10"/>
      <c r="F39" s="22"/>
      <c r="G39" s="17" t="s">
        <v>109</v>
      </c>
      <c r="H39" s="3">
        <v>3</v>
      </c>
      <c r="I39" s="16" t="s">
        <v>110</v>
      </c>
      <c r="J39" s="10"/>
      <c r="K39" s="22"/>
      <c r="L39" s="17" t="s">
        <v>109</v>
      </c>
      <c r="M39" s="3">
        <v>1</v>
      </c>
      <c r="N39" s="16" t="s">
        <v>109</v>
      </c>
      <c r="O39" s="10">
        <v>3</v>
      </c>
      <c r="P39" s="22"/>
      <c r="Q39" s="17" t="s">
        <v>110</v>
      </c>
      <c r="S39" s="16" t="s">
        <v>110</v>
      </c>
      <c r="T39" s="10"/>
      <c r="U39" s="23"/>
    </row>
    <row r="40" spans="1:21" ht="15" thickBot="1">
      <c r="A40" s="47" t="s">
        <v>91</v>
      </c>
      <c r="B40" s="18" t="s">
        <v>109</v>
      </c>
      <c r="C40" s="12">
        <v>2</v>
      </c>
      <c r="D40" s="19" t="s">
        <v>110</v>
      </c>
      <c r="E40" s="13"/>
      <c r="F40" s="24"/>
      <c r="G40" s="18" t="s">
        <v>110</v>
      </c>
      <c r="H40" s="12"/>
      <c r="I40" s="19" t="s">
        <v>110</v>
      </c>
      <c r="J40" s="13"/>
      <c r="K40" s="24"/>
      <c r="L40" s="18" t="s">
        <v>110</v>
      </c>
      <c r="M40" s="12"/>
      <c r="N40" s="19" t="s">
        <v>110</v>
      </c>
      <c r="O40" s="13"/>
      <c r="P40" s="24"/>
      <c r="Q40" s="18" t="s">
        <v>109</v>
      </c>
      <c r="R40" s="12">
        <v>4</v>
      </c>
      <c r="S40" s="19" t="s">
        <v>109</v>
      </c>
      <c r="T40" s="13">
        <v>1</v>
      </c>
      <c r="U40" s="25"/>
    </row>
    <row r="41" spans="1:21" ht="15.5" thickTop="1" thickBot="1"/>
    <row r="42" spans="1:21" ht="15.5" thickTop="1" thickBot="1">
      <c r="B42" s="40">
        <v>2</v>
      </c>
      <c r="C42" s="7"/>
      <c r="D42" s="37">
        <v>3</v>
      </c>
      <c r="G42" s="6">
        <v>2</v>
      </c>
      <c r="H42" s="7"/>
      <c r="I42" s="39">
        <v>3</v>
      </c>
      <c r="L42" s="38">
        <v>2</v>
      </c>
      <c r="M42" s="7"/>
      <c r="N42" s="8">
        <v>3</v>
      </c>
      <c r="Q42" s="37">
        <v>2</v>
      </c>
      <c r="R42" s="33"/>
      <c r="S42" s="38">
        <v>3</v>
      </c>
    </row>
    <row r="43" spans="1:21" ht="15" thickTop="1">
      <c r="B43" s="9"/>
      <c r="D43" s="10"/>
      <c r="G43" s="9"/>
      <c r="I43" s="34"/>
      <c r="L43" s="32"/>
      <c r="N43" s="10"/>
      <c r="Q43" s="9"/>
      <c r="S43" s="34"/>
    </row>
    <row r="44" spans="1:21" ht="15" thickBot="1">
      <c r="B44" s="9"/>
      <c r="D44" s="10"/>
      <c r="G44" s="9"/>
      <c r="I44" s="34"/>
      <c r="L44" s="32"/>
      <c r="N44" s="10"/>
      <c r="Q44" s="9"/>
      <c r="S44" s="34"/>
    </row>
    <row r="45" spans="1:21" ht="15.5" thickTop="1" thickBot="1">
      <c r="B45" s="38">
        <v>1</v>
      </c>
      <c r="C45" s="12"/>
      <c r="D45" s="13">
        <v>4</v>
      </c>
      <c r="G45" s="37">
        <v>1</v>
      </c>
      <c r="H45" s="35"/>
      <c r="I45" s="38">
        <v>4</v>
      </c>
      <c r="L45" s="39">
        <v>1</v>
      </c>
      <c r="M45" s="35"/>
      <c r="N45" s="37">
        <v>4</v>
      </c>
      <c r="Q45" s="11">
        <v>1</v>
      </c>
      <c r="R45" s="12"/>
      <c r="S45" s="40">
        <v>4</v>
      </c>
    </row>
    <row r="46" spans="1:21" ht="15.5" thickTop="1" thickBot="1"/>
    <row r="47" spans="1:21" ht="15" thickTop="1">
      <c r="A47" s="44" t="s">
        <v>52</v>
      </c>
      <c r="B47" s="14" t="s">
        <v>110</v>
      </c>
      <c r="C47" s="7" t="s">
        <v>107</v>
      </c>
      <c r="D47" s="15" t="s">
        <v>109</v>
      </c>
      <c r="E47" s="8">
        <v>3</v>
      </c>
      <c r="F47" s="44" t="s">
        <v>59</v>
      </c>
      <c r="G47" s="14" t="s">
        <v>110</v>
      </c>
      <c r="H47" s="7" t="s">
        <v>107</v>
      </c>
      <c r="I47" s="15" t="s">
        <v>110</v>
      </c>
      <c r="J47" s="8" t="s">
        <v>112</v>
      </c>
      <c r="K47" s="44" t="s">
        <v>61</v>
      </c>
      <c r="L47" s="14" t="s">
        <v>109</v>
      </c>
      <c r="M47" s="7">
        <v>2</v>
      </c>
      <c r="N47" s="15" t="s">
        <v>110</v>
      </c>
      <c r="O47" s="8" t="s">
        <v>107</v>
      </c>
      <c r="P47" s="44" t="s">
        <v>60</v>
      </c>
      <c r="Q47" s="14" t="s">
        <v>109</v>
      </c>
      <c r="R47" s="7">
        <v>3</v>
      </c>
      <c r="S47" s="15" t="s">
        <v>110</v>
      </c>
      <c r="T47" s="8" t="s">
        <v>107</v>
      </c>
      <c r="U47" s="5"/>
    </row>
    <row r="48" spans="1:21">
      <c r="A48" s="44" t="s">
        <v>53</v>
      </c>
      <c r="B48" s="17" t="s">
        <v>109</v>
      </c>
      <c r="C48" s="3">
        <v>1</v>
      </c>
      <c r="D48" s="16" t="s">
        <v>110</v>
      </c>
      <c r="E48" s="10" t="s">
        <v>108</v>
      </c>
      <c r="F48" s="44" t="s">
        <v>54</v>
      </c>
      <c r="G48" s="17" t="s">
        <v>109</v>
      </c>
      <c r="H48" s="3">
        <v>4</v>
      </c>
      <c r="I48" s="16" t="s">
        <v>109</v>
      </c>
      <c r="J48" s="10">
        <v>2</v>
      </c>
      <c r="K48" s="44" t="s">
        <v>55</v>
      </c>
      <c r="L48" s="17" t="s">
        <v>110</v>
      </c>
      <c r="M48" s="3" t="s">
        <v>112</v>
      </c>
      <c r="N48" s="16" t="s">
        <v>110</v>
      </c>
      <c r="O48" s="10" t="s">
        <v>111</v>
      </c>
      <c r="P48" s="44" t="s">
        <v>68</v>
      </c>
      <c r="Q48" s="17" t="s">
        <v>110</v>
      </c>
      <c r="R48" s="3" t="s">
        <v>108</v>
      </c>
      <c r="S48" s="16" t="s">
        <v>109</v>
      </c>
      <c r="T48" s="10">
        <v>2</v>
      </c>
      <c r="U48" s="5"/>
    </row>
    <row r="49" spans="1:21">
      <c r="A49" s="45" t="s">
        <v>79</v>
      </c>
      <c r="B49" s="17" t="s">
        <v>110</v>
      </c>
      <c r="C49" s="3" t="s">
        <v>111</v>
      </c>
      <c r="D49" s="16" t="s">
        <v>110</v>
      </c>
      <c r="E49" s="10" t="s">
        <v>112</v>
      </c>
      <c r="F49" s="45" t="s">
        <v>81</v>
      </c>
      <c r="G49" s="17" t="s">
        <v>109</v>
      </c>
      <c r="H49" s="3">
        <v>1</v>
      </c>
      <c r="I49" s="16" t="s">
        <v>110</v>
      </c>
      <c r="J49" s="10" t="s">
        <v>107</v>
      </c>
      <c r="K49" s="45" t="s">
        <v>121</v>
      </c>
      <c r="L49" s="17" t="s">
        <v>110</v>
      </c>
      <c r="M49" s="3" t="s">
        <v>108</v>
      </c>
      <c r="N49" s="16" t="s">
        <v>109</v>
      </c>
      <c r="O49" s="10">
        <v>2</v>
      </c>
      <c r="P49" s="45" t="s">
        <v>65</v>
      </c>
      <c r="Q49" s="17" t="s">
        <v>109</v>
      </c>
      <c r="R49" s="3">
        <v>2</v>
      </c>
      <c r="S49" s="16" t="s">
        <v>110</v>
      </c>
      <c r="T49" s="10" t="s">
        <v>112</v>
      </c>
      <c r="U49" s="4"/>
    </row>
    <row r="50" spans="1:21">
      <c r="A50" s="45" t="s">
        <v>67</v>
      </c>
      <c r="B50" s="17" t="s">
        <v>109</v>
      </c>
      <c r="C50" s="3">
        <v>3</v>
      </c>
      <c r="D50" s="16" t="s">
        <v>109</v>
      </c>
      <c r="E50" s="10">
        <v>4</v>
      </c>
      <c r="F50" s="45" t="s">
        <v>80</v>
      </c>
      <c r="G50" s="17" t="s">
        <v>110</v>
      </c>
      <c r="H50" s="3" t="s">
        <v>112</v>
      </c>
      <c r="I50" s="16" t="s">
        <v>109</v>
      </c>
      <c r="J50" s="10">
        <v>4</v>
      </c>
      <c r="K50" s="45" t="s">
        <v>62</v>
      </c>
      <c r="L50" s="17" t="s">
        <v>109</v>
      </c>
      <c r="M50" s="3">
        <v>4</v>
      </c>
      <c r="N50" s="16" t="s">
        <v>110</v>
      </c>
      <c r="O50" s="10" t="s">
        <v>108</v>
      </c>
      <c r="P50" s="45" t="s">
        <v>57</v>
      </c>
      <c r="Q50" s="17" t="s">
        <v>110</v>
      </c>
      <c r="R50" s="3" t="s">
        <v>107</v>
      </c>
      <c r="S50" s="16" t="s">
        <v>110</v>
      </c>
      <c r="T50" s="10" t="s">
        <v>108</v>
      </c>
      <c r="U50" s="4"/>
    </row>
    <row r="51" spans="1:21">
      <c r="A51" s="46" t="s">
        <v>74</v>
      </c>
      <c r="B51" s="17" t="s">
        <v>110</v>
      </c>
      <c r="C51" s="3" t="s">
        <v>108</v>
      </c>
      <c r="D51" s="16" t="s">
        <v>110</v>
      </c>
      <c r="E51" s="10" t="s">
        <v>107</v>
      </c>
      <c r="F51" s="46" t="s">
        <v>76</v>
      </c>
      <c r="G51" s="17" t="s">
        <v>109</v>
      </c>
      <c r="H51" s="3">
        <v>3</v>
      </c>
      <c r="I51" s="16" t="s">
        <v>110</v>
      </c>
      <c r="J51" s="10" t="s">
        <v>111</v>
      </c>
      <c r="K51" s="46" t="s">
        <v>77</v>
      </c>
      <c r="L51" s="17" t="s">
        <v>109</v>
      </c>
      <c r="M51" s="3">
        <v>1</v>
      </c>
      <c r="N51" s="16" t="s">
        <v>109</v>
      </c>
      <c r="O51" s="10">
        <v>3</v>
      </c>
      <c r="P51" s="46" t="s">
        <v>78</v>
      </c>
      <c r="Q51" s="17" t="s">
        <v>110</v>
      </c>
      <c r="R51" s="3" t="s">
        <v>112</v>
      </c>
      <c r="S51" s="16" t="s">
        <v>110</v>
      </c>
      <c r="T51" s="10" t="s">
        <v>111</v>
      </c>
      <c r="U51" s="23"/>
    </row>
    <row r="52" spans="1:21" ht="15" thickBot="1">
      <c r="A52" s="47" t="s">
        <v>58</v>
      </c>
      <c r="B52" s="18" t="s">
        <v>109</v>
      </c>
      <c r="C52" s="12">
        <v>2</v>
      </c>
      <c r="D52" s="19" t="s">
        <v>110</v>
      </c>
      <c r="E52" s="13" t="s">
        <v>111</v>
      </c>
      <c r="F52" s="47" t="s">
        <v>63</v>
      </c>
      <c r="G52" s="18" t="s">
        <v>110</v>
      </c>
      <c r="H52" s="12" t="s">
        <v>111</v>
      </c>
      <c r="I52" s="19" t="s">
        <v>110</v>
      </c>
      <c r="J52" s="13" t="s">
        <v>108</v>
      </c>
      <c r="K52" s="47" t="s">
        <v>66</v>
      </c>
      <c r="L52" s="18" t="s">
        <v>110</v>
      </c>
      <c r="M52" s="12" t="s">
        <v>111</v>
      </c>
      <c r="N52" s="19" t="s">
        <v>110</v>
      </c>
      <c r="O52" s="13" t="s">
        <v>112</v>
      </c>
      <c r="P52" s="47" t="s">
        <v>82</v>
      </c>
      <c r="Q52" s="18" t="s">
        <v>109</v>
      </c>
      <c r="R52" s="12">
        <v>4</v>
      </c>
      <c r="S52" s="19" t="s">
        <v>109</v>
      </c>
      <c r="T52" s="13">
        <v>1</v>
      </c>
      <c r="U52" s="25"/>
    </row>
    <row r="53" spans="1:21" ht="15.5" thickTop="1" thickBot="1"/>
    <row r="54" spans="1:21" ht="15.5" thickTop="1" thickBot="1">
      <c r="B54" s="37" t="s">
        <v>111</v>
      </c>
      <c r="C54" s="7"/>
      <c r="D54" s="38" t="s">
        <v>107</v>
      </c>
      <c r="G54" s="38" t="s">
        <v>111</v>
      </c>
      <c r="H54" s="7"/>
      <c r="I54" s="40" t="s">
        <v>107</v>
      </c>
      <c r="L54" s="40" t="s">
        <v>111</v>
      </c>
      <c r="M54" s="7"/>
      <c r="N54" s="36" t="s">
        <v>107</v>
      </c>
      <c r="Q54" s="36" t="s">
        <v>111</v>
      </c>
      <c r="R54" s="7"/>
      <c r="S54" s="37" t="s">
        <v>107</v>
      </c>
    </row>
    <row r="55" spans="1:21" ht="15" thickTop="1">
      <c r="B55" s="9"/>
      <c r="D55" s="10"/>
      <c r="G55" s="9"/>
      <c r="I55" s="10"/>
      <c r="L55" s="9"/>
      <c r="N55" s="10"/>
      <c r="Q55" s="9"/>
      <c r="S55" s="10"/>
    </row>
    <row r="56" spans="1:21" ht="15" thickBot="1">
      <c r="B56" s="9"/>
      <c r="D56" s="10"/>
      <c r="G56" s="9"/>
      <c r="I56" s="10"/>
      <c r="L56" s="9"/>
      <c r="N56" s="10"/>
      <c r="Q56" s="9"/>
      <c r="S56" s="10"/>
    </row>
    <row r="57" spans="1:21" ht="15.5" thickTop="1" thickBot="1">
      <c r="B57" s="39" t="s">
        <v>108</v>
      </c>
      <c r="C57" s="12"/>
      <c r="D57" s="36" t="s">
        <v>112</v>
      </c>
      <c r="G57" s="36" t="s">
        <v>108</v>
      </c>
      <c r="H57" s="12"/>
      <c r="I57" s="41" t="s">
        <v>112</v>
      </c>
      <c r="L57" s="37" t="s">
        <v>108</v>
      </c>
      <c r="M57" s="12"/>
      <c r="N57" s="49" t="s">
        <v>112</v>
      </c>
      <c r="Q57" s="38" t="s">
        <v>108</v>
      </c>
      <c r="R57" s="12"/>
      <c r="S57" s="48" t="s">
        <v>112</v>
      </c>
    </row>
    <row r="58" spans="1:21" ht="15.5" thickTop="1" thickBot="1"/>
    <row r="59" spans="1:21" ht="15.5" thickTop="1" thickBot="1">
      <c r="B59" s="40" t="s">
        <v>111</v>
      </c>
      <c r="C59" s="7"/>
      <c r="D59" s="39" t="s">
        <v>107</v>
      </c>
      <c r="G59" s="39" t="s">
        <v>111</v>
      </c>
      <c r="H59" s="7"/>
      <c r="I59" s="37" t="s">
        <v>107</v>
      </c>
      <c r="L59" s="38" t="s">
        <v>111</v>
      </c>
      <c r="M59" s="7"/>
      <c r="N59" s="38" t="s">
        <v>107</v>
      </c>
      <c r="Q59" s="39" t="s">
        <v>111</v>
      </c>
      <c r="R59" s="7"/>
      <c r="S59" s="38" t="s">
        <v>107</v>
      </c>
    </row>
    <row r="60" spans="1:21" ht="15" thickTop="1">
      <c r="B60" s="9"/>
      <c r="D60" s="10"/>
      <c r="G60" s="9"/>
      <c r="I60" s="10"/>
      <c r="L60" s="9"/>
      <c r="N60" s="10"/>
      <c r="Q60" s="9"/>
      <c r="S60" s="10"/>
    </row>
    <row r="61" spans="1:21" ht="15" thickBot="1">
      <c r="B61" s="9"/>
      <c r="D61" s="10"/>
      <c r="G61" s="9"/>
      <c r="I61" s="10"/>
      <c r="L61" s="9"/>
      <c r="N61" s="10"/>
      <c r="Q61" s="9"/>
      <c r="S61" s="10"/>
    </row>
    <row r="62" spans="1:21" ht="15.5" thickTop="1" thickBot="1">
      <c r="B62" s="38" t="s">
        <v>108</v>
      </c>
      <c r="C62" s="12"/>
      <c r="D62" s="37" t="s">
        <v>112</v>
      </c>
      <c r="G62" s="40" t="s">
        <v>108</v>
      </c>
      <c r="H62" s="12"/>
      <c r="I62" s="38" t="s">
        <v>112</v>
      </c>
      <c r="L62" s="37" t="s">
        <v>108</v>
      </c>
      <c r="M62" s="12"/>
      <c r="N62" s="40" t="s">
        <v>112</v>
      </c>
      <c r="Q62" s="37" t="s">
        <v>108</v>
      </c>
      <c r="R62" s="12"/>
      <c r="S62" s="37" t="s">
        <v>112</v>
      </c>
    </row>
    <row r="63" spans="1:21" ht="15" thickTop="1"/>
    <row r="65" spans="1:22">
      <c r="A65" s="20" t="s">
        <v>86</v>
      </c>
      <c r="G65" s="3" t="s">
        <v>113</v>
      </c>
      <c r="L65" s="3" t="s">
        <v>114</v>
      </c>
      <c r="M65" s="43" t="s">
        <v>115</v>
      </c>
      <c r="Q65" s="3" t="s">
        <v>114</v>
      </c>
      <c r="U65" s="3"/>
      <c r="V65" s="3"/>
    </row>
    <row r="66" spans="1:22">
      <c r="A66" s="20" t="s">
        <v>87</v>
      </c>
      <c r="B66" s="3" t="s">
        <v>114</v>
      </c>
      <c r="L66" s="3" t="s">
        <v>113</v>
      </c>
      <c r="U66" s="3"/>
      <c r="V66" s="3"/>
    </row>
    <row r="67" spans="1:22">
      <c r="A67" s="21" t="s">
        <v>88</v>
      </c>
      <c r="B67" s="3" t="s">
        <v>113</v>
      </c>
      <c r="G67" s="3" t="s">
        <v>114</v>
      </c>
      <c r="Q67" s="3" t="s">
        <v>114</v>
      </c>
      <c r="R67" s="43" t="s">
        <v>115</v>
      </c>
      <c r="U67" s="3"/>
      <c r="V67" s="3"/>
    </row>
    <row r="68" spans="1:22">
      <c r="A68" s="21" t="s">
        <v>89</v>
      </c>
      <c r="L68" s="3" t="s">
        <v>114</v>
      </c>
      <c r="Q68" s="3" t="s">
        <v>113</v>
      </c>
      <c r="U68" s="3"/>
      <c r="V68" s="3"/>
    </row>
    <row r="69" spans="1:22">
      <c r="A69" s="22" t="s">
        <v>90</v>
      </c>
      <c r="B69" s="3" t="s">
        <v>113</v>
      </c>
      <c r="C69" s="43" t="s">
        <v>115</v>
      </c>
      <c r="G69" s="3" t="s">
        <v>114</v>
      </c>
      <c r="Q69" s="3" t="s">
        <v>113</v>
      </c>
      <c r="U69" s="3"/>
      <c r="V69" s="3"/>
    </row>
    <row r="70" spans="1:22">
      <c r="A70" s="24" t="s">
        <v>91</v>
      </c>
      <c r="B70" s="3" t="s">
        <v>114</v>
      </c>
      <c r="G70" s="3" t="s">
        <v>113</v>
      </c>
      <c r="H70" s="43" t="s">
        <v>115</v>
      </c>
      <c r="L70" s="3" t="s">
        <v>113</v>
      </c>
      <c r="U70" s="3"/>
      <c r="V70" s="3"/>
    </row>
  </sheetData>
  <conditionalFormatting sqref="B35:B40 G35:G40 L35:L40 N35:N40 Q35:Q40 S35:S40">
    <cfRule type="containsText" dxfId="17" priority="13" operator="containsText" text="out">
      <formula>NOT(ISERROR(SEARCH("out",B35)))</formula>
    </cfRule>
    <cfRule type="containsText" dxfId="16" priority="14" operator="containsText" text="in">
      <formula>NOT(ISERROR(SEARCH("in",B35)))</formula>
    </cfRule>
  </conditionalFormatting>
  <conditionalFormatting sqref="B47:B52">
    <cfRule type="containsText" dxfId="15" priority="37" operator="containsText" text="out">
      <formula>NOT(ISERROR(SEARCH("out",B47)))</formula>
    </cfRule>
    <cfRule type="containsText" dxfId="14" priority="38" operator="containsText" text="in">
      <formula>NOT(ISERROR(SEARCH("in",B47)))</formula>
    </cfRule>
  </conditionalFormatting>
  <conditionalFormatting sqref="B11:D16 F11:T16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D24 F19:T24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D32 F27:T32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T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5:D40">
    <cfRule type="containsText" dxfId="13" priority="11" operator="containsText" text="out">
      <formula>NOT(ISERROR(SEARCH("out",D35)))</formula>
    </cfRule>
    <cfRule type="containsText" dxfId="12" priority="12" operator="containsText" text="in">
      <formula>NOT(ISERROR(SEARCH("in",D35)))</formula>
    </cfRule>
  </conditionalFormatting>
  <conditionalFormatting sqref="D47:D52">
    <cfRule type="containsText" dxfId="11" priority="35" operator="containsText" text="out">
      <formula>NOT(ISERROR(SEARCH("out",D47)))</formula>
    </cfRule>
    <cfRule type="containsText" dxfId="10" priority="36" operator="containsText" text="in">
      <formula>NOT(ISERROR(SEARCH("in",D47)))</formula>
    </cfRule>
  </conditionalFormatting>
  <conditionalFormatting sqref="G47:G52">
    <cfRule type="containsText" dxfId="9" priority="7" operator="containsText" text="out">
      <formula>NOT(ISERROR(SEARCH("out",G47)))</formula>
    </cfRule>
    <cfRule type="containsText" dxfId="8" priority="8" operator="containsText" text="in">
      <formula>NOT(ISERROR(SEARCH("in",G47)))</formula>
    </cfRule>
  </conditionalFormatting>
  <conditionalFormatting sqref="I35:I40">
    <cfRule type="containsText" dxfId="7" priority="9" operator="containsText" text="out">
      <formula>NOT(ISERROR(SEARCH("out",I35)))</formula>
    </cfRule>
    <cfRule type="containsText" dxfId="6" priority="10" operator="containsText" text="in">
      <formula>NOT(ISERROR(SEARCH("in",I35)))</formula>
    </cfRule>
  </conditionalFormatting>
  <conditionalFormatting sqref="I47:I52">
    <cfRule type="containsText" dxfId="5" priority="5" operator="containsText" text="out">
      <formula>NOT(ISERROR(SEARCH("out",I47)))</formula>
    </cfRule>
    <cfRule type="containsText" dxfId="4" priority="6" operator="containsText" text="in">
      <formula>NOT(ISERROR(SEARCH("in",I47)))</formula>
    </cfRule>
  </conditionalFormatting>
  <conditionalFormatting sqref="L47:L52 N47:N52">
    <cfRule type="containsText" dxfId="3" priority="3" operator="containsText" text="out">
      <formula>NOT(ISERROR(SEARCH("out",L47)))</formula>
    </cfRule>
    <cfRule type="containsText" dxfId="2" priority="4" operator="containsText" text="in">
      <formula>NOT(ISERROR(SEARCH("in",L47)))</formula>
    </cfRule>
  </conditionalFormatting>
  <conditionalFormatting sqref="Q47:Q52 S47:S52">
    <cfRule type="containsText" dxfId="1" priority="1" operator="containsText" text="out">
      <formula>NOT(ISERROR(SEARCH("out",Q47)))</formula>
    </cfRule>
    <cfRule type="containsText" dxfId="0" priority="2" operator="containsText" text="in">
      <formula>NOT(ISERROR(SEARCH("in",Q47)))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D7FB-334F-4E95-BCE8-989B415317A3}">
  <dimension ref="B2:F44"/>
  <sheetViews>
    <sheetView workbookViewId="0">
      <selection activeCell="B20" sqref="B20"/>
    </sheetView>
  </sheetViews>
  <sheetFormatPr defaultRowHeight="14.5"/>
  <cols>
    <col min="1" max="16384" width="8.7265625" style="43"/>
  </cols>
  <sheetData>
    <row r="2" spans="2:3">
      <c r="B2" s="59" t="s">
        <v>126</v>
      </c>
      <c r="C2" s="43" t="s">
        <v>135</v>
      </c>
    </row>
    <row r="3" spans="2:3">
      <c r="B3" s="43" t="s">
        <v>122</v>
      </c>
    </row>
    <row r="4" spans="2:3">
      <c r="B4" s="43" t="s">
        <v>123</v>
      </c>
    </row>
    <row r="5" spans="2:3">
      <c r="B5" s="43" t="s">
        <v>124</v>
      </c>
    </row>
    <row r="6" spans="2:3">
      <c r="B6" s="43" t="s">
        <v>125</v>
      </c>
    </row>
    <row r="8" spans="2:3">
      <c r="B8" s="59" t="s">
        <v>127</v>
      </c>
      <c r="C8" s="43" t="s">
        <v>136</v>
      </c>
    </row>
    <row r="9" spans="2:3">
      <c r="B9" s="43" t="s">
        <v>128</v>
      </c>
    </row>
    <row r="10" spans="2:3">
      <c r="B10" s="43" t="s">
        <v>129</v>
      </c>
    </row>
    <row r="11" spans="2:3">
      <c r="B11" s="43" t="s">
        <v>130</v>
      </c>
    </row>
    <row r="13" spans="2:3">
      <c r="B13" s="59" t="s">
        <v>131</v>
      </c>
      <c r="C13" s="43" t="s">
        <v>137</v>
      </c>
    </row>
    <row r="14" spans="2:3">
      <c r="B14" s="43" t="s">
        <v>132</v>
      </c>
    </row>
    <row r="15" spans="2:3">
      <c r="B15" s="43" t="s">
        <v>133</v>
      </c>
    </row>
    <row r="16" spans="2:3">
      <c r="B16" s="43" t="s">
        <v>134</v>
      </c>
    </row>
    <row r="19" spans="2:3">
      <c r="B19" s="59" t="s">
        <v>138</v>
      </c>
      <c r="C19" s="43" t="s">
        <v>47</v>
      </c>
    </row>
    <row r="20" spans="2:3">
      <c r="B20" s="43" t="s">
        <v>139</v>
      </c>
    </row>
    <row r="21" spans="2:3">
      <c r="B21" s="43" t="s">
        <v>140</v>
      </c>
    </row>
    <row r="23" spans="2:3">
      <c r="B23" s="59" t="s">
        <v>141</v>
      </c>
      <c r="C23" s="43" t="s">
        <v>144</v>
      </c>
    </row>
    <row r="24" spans="2:3">
      <c r="B24" s="43" t="s">
        <v>142</v>
      </c>
    </row>
    <row r="25" spans="2:3">
      <c r="B25" s="43" t="s">
        <v>143</v>
      </c>
    </row>
    <row r="34" spans="5:6">
      <c r="E34" s="58" t="s">
        <v>145</v>
      </c>
      <c r="F34" s="43" t="s">
        <v>146</v>
      </c>
    </row>
    <row r="36" spans="5:6">
      <c r="E36" s="58" t="s">
        <v>147</v>
      </c>
      <c r="F36" s="43" t="s">
        <v>141</v>
      </c>
    </row>
    <row r="37" spans="5:6">
      <c r="F37" s="43" t="s">
        <v>126</v>
      </c>
    </row>
    <row r="38" spans="5:6">
      <c r="F38" s="43" t="s">
        <v>138</v>
      </c>
    </row>
    <row r="39" spans="5:6">
      <c r="F39" s="43" t="s">
        <v>148</v>
      </c>
    </row>
    <row r="40" spans="5:6">
      <c r="F40" s="43" t="s">
        <v>144</v>
      </c>
    </row>
    <row r="42" spans="5:6">
      <c r="E42" s="58" t="s">
        <v>149</v>
      </c>
      <c r="F42" s="43" t="s">
        <v>150</v>
      </c>
    </row>
    <row r="44" spans="5:6">
      <c r="E44" s="58" t="s">
        <v>151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57E9-75BE-4476-A2FD-44D84B48EE8E}">
  <dimension ref="A6:R84"/>
  <sheetViews>
    <sheetView workbookViewId="0">
      <selection activeCell="C104" sqref="C104"/>
    </sheetView>
  </sheetViews>
  <sheetFormatPr defaultRowHeight="14.5"/>
  <cols>
    <col min="2" max="2" width="20.90625" bestFit="1" customWidth="1"/>
    <col min="3" max="3" width="21.6328125" style="2" bestFit="1" customWidth="1"/>
    <col min="4" max="4" width="18" style="3" bestFit="1" customWidth="1"/>
    <col min="5" max="5" width="18.453125" style="3" bestFit="1" customWidth="1"/>
    <col min="6" max="6" width="16.08984375" style="3" bestFit="1" customWidth="1"/>
    <col min="7" max="7" width="20" style="3" bestFit="1" customWidth="1"/>
    <col min="8" max="8" width="21.1796875" style="3" bestFit="1" customWidth="1"/>
    <col min="9" max="9" width="16.6328125" style="3" bestFit="1" customWidth="1"/>
    <col min="10" max="10" width="17.453125" style="3" bestFit="1" customWidth="1"/>
    <col min="11" max="11" width="19.08984375" style="3" bestFit="1" customWidth="1"/>
    <col min="12" max="12" width="17.7265625" style="3" bestFit="1" customWidth="1"/>
    <col min="13" max="13" width="17.81640625" style="3" bestFit="1" customWidth="1"/>
    <col min="14" max="14" width="16.26953125" style="3" bestFit="1" customWidth="1"/>
    <col min="15" max="15" width="17.1796875" style="3" bestFit="1" customWidth="1"/>
    <col min="16" max="16" width="16.7265625" style="3" bestFit="1" customWidth="1"/>
    <col min="17" max="17" width="17.7265625" style="3" bestFit="1" customWidth="1"/>
  </cols>
  <sheetData>
    <row r="6" spans="1:6">
      <c r="A6" t="s">
        <v>209</v>
      </c>
      <c r="B6" t="s">
        <v>103</v>
      </c>
      <c r="C6" s="2" t="s">
        <v>211</v>
      </c>
      <c r="D6" s="3" t="s">
        <v>212</v>
      </c>
      <c r="E6" s="3" t="s">
        <v>214</v>
      </c>
      <c r="F6" s="3" t="s">
        <v>216</v>
      </c>
    </row>
    <row r="7" spans="1:6">
      <c r="C7" s="2" t="s">
        <v>210</v>
      </c>
      <c r="D7" s="3" t="s">
        <v>213</v>
      </c>
      <c r="E7" s="3" t="s">
        <v>215</v>
      </c>
      <c r="F7" s="3" t="s">
        <v>217</v>
      </c>
    </row>
    <row r="9" spans="1:6">
      <c r="B9" t="s">
        <v>104</v>
      </c>
      <c r="C9" s="2" t="s">
        <v>218</v>
      </c>
      <c r="D9" s="3" t="s">
        <v>224</v>
      </c>
      <c r="E9" s="3" t="s">
        <v>230</v>
      </c>
      <c r="F9" s="3" t="s">
        <v>232</v>
      </c>
    </row>
    <row r="10" spans="1:6">
      <c r="C10" s="2" t="s">
        <v>219</v>
      </c>
      <c r="D10" s="3" t="s">
        <v>225</v>
      </c>
      <c r="E10" s="3" t="s">
        <v>231</v>
      </c>
      <c r="F10" s="3" t="s">
        <v>233</v>
      </c>
    </row>
    <row r="12" spans="1:6">
      <c r="B12" t="s">
        <v>105</v>
      </c>
      <c r="C12" s="2" t="s">
        <v>220</v>
      </c>
      <c r="D12" s="3" t="s">
        <v>226</v>
      </c>
      <c r="E12" s="3" t="s">
        <v>234</v>
      </c>
      <c r="F12" s="3" t="s">
        <v>238</v>
      </c>
    </row>
    <row r="13" spans="1:6">
      <c r="C13" s="2" t="s">
        <v>221</v>
      </c>
      <c r="D13" s="3" t="s">
        <v>227</v>
      </c>
      <c r="E13" s="3" t="s">
        <v>235</v>
      </c>
      <c r="F13" s="3" t="s">
        <v>239</v>
      </c>
    </row>
    <row r="15" spans="1:6">
      <c r="B15" t="s">
        <v>106</v>
      </c>
      <c r="C15" s="2" t="s">
        <v>222</v>
      </c>
      <c r="D15" s="3" t="s">
        <v>228</v>
      </c>
      <c r="E15" s="3" t="s">
        <v>236</v>
      </c>
      <c r="F15" s="3" t="s">
        <v>240</v>
      </c>
    </row>
    <row r="16" spans="1:6">
      <c r="C16" s="2" t="s">
        <v>223</v>
      </c>
      <c r="D16" s="3" t="s">
        <v>229</v>
      </c>
      <c r="E16" s="3" t="s">
        <v>237</v>
      </c>
      <c r="F16" s="3" t="s">
        <v>241</v>
      </c>
    </row>
    <row r="25" spans="2:3">
      <c r="C25" s="2" t="s">
        <v>242</v>
      </c>
    </row>
    <row r="26" spans="2:3">
      <c r="B26" s="20" t="s">
        <v>52</v>
      </c>
    </row>
    <row r="27" spans="2:3">
      <c r="B27" s="20" t="s">
        <v>53</v>
      </c>
    </row>
    <row r="28" spans="2:3">
      <c r="B28" s="21" t="s">
        <v>79</v>
      </c>
    </row>
    <row r="29" spans="2:3">
      <c r="B29" s="21" t="s">
        <v>67</v>
      </c>
    </row>
    <row r="30" spans="2:3">
      <c r="B30" s="22" t="s">
        <v>74</v>
      </c>
    </row>
    <row r="31" spans="2:3">
      <c r="B31" s="24" t="s">
        <v>58</v>
      </c>
    </row>
    <row r="34" spans="2:2">
      <c r="B34" s="20" t="s">
        <v>59</v>
      </c>
    </row>
    <row r="35" spans="2:2">
      <c r="B35" s="20" t="s">
        <v>54</v>
      </c>
    </row>
    <row r="36" spans="2:2">
      <c r="B36" s="21" t="s">
        <v>81</v>
      </c>
    </row>
    <row r="37" spans="2:2">
      <c r="B37" s="21" t="s">
        <v>80</v>
      </c>
    </row>
    <row r="38" spans="2:2">
      <c r="B38" s="22" t="s">
        <v>76</v>
      </c>
    </row>
    <row r="39" spans="2:2">
      <c r="B39" s="24" t="s">
        <v>63</v>
      </c>
    </row>
    <row r="42" spans="2:2">
      <c r="B42" s="20" t="s">
        <v>61</v>
      </c>
    </row>
    <row r="43" spans="2:2">
      <c r="B43" s="20" t="s">
        <v>55</v>
      </c>
    </row>
    <row r="44" spans="2:2">
      <c r="B44" s="21" t="s">
        <v>121</v>
      </c>
    </row>
    <row r="45" spans="2:2">
      <c r="B45" s="21" t="s">
        <v>62</v>
      </c>
    </row>
    <row r="46" spans="2:2">
      <c r="B46" s="22" t="s">
        <v>77</v>
      </c>
    </row>
    <row r="47" spans="2:2">
      <c r="B47" s="24" t="s">
        <v>66</v>
      </c>
    </row>
    <row r="50" spans="1:18">
      <c r="B50" s="20" t="s">
        <v>60</v>
      </c>
    </row>
    <row r="51" spans="1:18">
      <c r="B51" s="20" t="s">
        <v>68</v>
      </c>
    </row>
    <row r="52" spans="1:18">
      <c r="B52" s="21" t="s">
        <v>65</v>
      </c>
    </row>
    <row r="53" spans="1:18">
      <c r="B53" s="21" t="s">
        <v>57</v>
      </c>
    </row>
    <row r="54" spans="1:18">
      <c r="B54" s="22" t="s">
        <v>78</v>
      </c>
    </row>
    <row r="55" spans="1:18">
      <c r="B55" s="24" t="s">
        <v>82</v>
      </c>
      <c r="D55" s="3">
        <v>1</v>
      </c>
      <c r="E55" s="3">
        <v>2</v>
      </c>
      <c r="F55" s="3">
        <v>3</v>
      </c>
      <c r="G55" s="3">
        <v>4</v>
      </c>
      <c r="H55" s="3">
        <v>5</v>
      </c>
      <c r="I55" s="3">
        <v>6</v>
      </c>
      <c r="J55" s="3">
        <v>7</v>
      </c>
    </row>
    <row r="57" spans="1:18">
      <c r="B57" s="60" t="s">
        <v>672</v>
      </c>
      <c r="C57" s="60" t="s">
        <v>673</v>
      </c>
      <c r="D57" s="60" t="s">
        <v>338</v>
      </c>
      <c r="E57" s="60" t="s">
        <v>339</v>
      </c>
      <c r="F57" s="60" t="s">
        <v>340</v>
      </c>
      <c r="G57" s="60" t="s">
        <v>341</v>
      </c>
      <c r="H57" s="60" t="s">
        <v>342</v>
      </c>
      <c r="I57" s="60" t="s">
        <v>343</v>
      </c>
      <c r="J57" s="60" t="s">
        <v>344</v>
      </c>
      <c r="K57" s="60" t="s">
        <v>363</v>
      </c>
      <c r="L57" s="60" t="s">
        <v>364</v>
      </c>
      <c r="M57" s="60" t="s">
        <v>674</v>
      </c>
      <c r="N57" s="60" t="s">
        <v>675</v>
      </c>
      <c r="O57" s="60" t="s">
        <v>676</v>
      </c>
      <c r="P57" s="60" t="s">
        <v>677</v>
      </c>
      <c r="Q57" s="60" t="s">
        <v>678</v>
      </c>
    </row>
    <row r="58" spans="1:18">
      <c r="A58" s="3" t="s">
        <v>86</v>
      </c>
      <c r="B58" s="3" t="s">
        <v>69</v>
      </c>
      <c r="C58" s="2" t="s">
        <v>246</v>
      </c>
      <c r="D58" s="3" t="s">
        <v>368</v>
      </c>
      <c r="E58" s="3" t="s">
        <v>369</v>
      </c>
      <c r="F58" s="3" t="s">
        <v>365</v>
      </c>
      <c r="G58" s="3" t="s">
        <v>366</v>
      </c>
      <c r="H58" s="3" t="s">
        <v>346</v>
      </c>
      <c r="I58" s="3" t="s">
        <v>248</v>
      </c>
      <c r="J58" s="3" t="s">
        <v>247</v>
      </c>
      <c r="K58" s="3" t="s">
        <v>250</v>
      </c>
      <c r="L58" s="3" t="s">
        <v>370</v>
      </c>
      <c r="M58" s="3" t="s">
        <v>59</v>
      </c>
      <c r="N58" s="3" t="s">
        <v>367</v>
      </c>
      <c r="O58" s="3" t="s">
        <v>60</v>
      </c>
      <c r="P58" s="3" t="s">
        <v>371</v>
      </c>
      <c r="Q58" s="3" t="s">
        <v>372</v>
      </c>
    </row>
    <row r="59" spans="1:18">
      <c r="A59" s="3" t="s">
        <v>87</v>
      </c>
      <c r="B59" s="3" t="s">
        <v>373</v>
      </c>
      <c r="C59" s="2" t="s">
        <v>53</v>
      </c>
      <c r="D59" s="3" t="s">
        <v>374</v>
      </c>
      <c r="E59" s="3" t="s">
        <v>253</v>
      </c>
      <c r="F59" s="3" t="s">
        <v>375</v>
      </c>
      <c r="G59" s="3" t="s">
        <v>386</v>
      </c>
      <c r="H59" s="3" t="s">
        <v>376</v>
      </c>
      <c r="I59" s="3" t="s">
        <v>385</v>
      </c>
      <c r="J59" s="3" t="s">
        <v>380</v>
      </c>
      <c r="K59" s="3" t="s">
        <v>383</v>
      </c>
      <c r="L59" s="3" t="s">
        <v>377</v>
      </c>
      <c r="M59" s="3" t="s">
        <v>382</v>
      </c>
      <c r="N59" s="3" t="s">
        <v>381</v>
      </c>
      <c r="O59" s="3" t="s">
        <v>384</v>
      </c>
      <c r="P59" s="3" t="s">
        <v>378</v>
      </c>
      <c r="Q59" s="3" t="s">
        <v>379</v>
      </c>
    </row>
    <row r="60" spans="1:18" s="61" customFormat="1">
      <c r="A60" s="3" t="s">
        <v>88</v>
      </c>
      <c r="B60" s="3" t="s">
        <v>387</v>
      </c>
      <c r="C60" s="2" t="s">
        <v>348</v>
      </c>
      <c r="D60" s="3" t="s">
        <v>389</v>
      </c>
      <c r="E60" s="3" t="s">
        <v>394</v>
      </c>
      <c r="F60" s="3" t="s">
        <v>391</v>
      </c>
      <c r="G60" s="3" t="s">
        <v>393</v>
      </c>
      <c r="H60" s="3" t="s">
        <v>395</v>
      </c>
      <c r="I60" s="3" t="s">
        <v>390</v>
      </c>
      <c r="J60" s="3" t="s">
        <v>388</v>
      </c>
      <c r="K60" s="3" t="s">
        <v>392</v>
      </c>
      <c r="L60" s="3" t="s">
        <v>396</v>
      </c>
      <c r="M60" s="3" t="s">
        <v>400</v>
      </c>
      <c r="N60" s="3" t="s">
        <v>399</v>
      </c>
      <c r="O60" s="3" t="s">
        <v>397</v>
      </c>
      <c r="P60" s="3" t="s">
        <v>401</v>
      </c>
      <c r="Q60" s="3" t="s">
        <v>398</v>
      </c>
    </row>
    <row r="61" spans="1:18">
      <c r="A61" s="3" t="s">
        <v>89</v>
      </c>
      <c r="B61" s="3" t="s">
        <v>403</v>
      </c>
      <c r="C61" s="2" t="s">
        <v>402</v>
      </c>
      <c r="D61" s="3" t="s">
        <v>258</v>
      </c>
      <c r="E61" s="3" t="s">
        <v>404</v>
      </c>
      <c r="F61" s="3" t="s">
        <v>260</v>
      </c>
      <c r="G61" s="3" t="s">
        <v>406</v>
      </c>
      <c r="H61" s="3" t="s">
        <v>405</v>
      </c>
      <c r="I61" s="3" t="s">
        <v>408</v>
      </c>
      <c r="J61" s="3" t="s">
        <v>407</v>
      </c>
      <c r="K61" s="3" t="s">
        <v>409</v>
      </c>
      <c r="L61" s="3" t="s">
        <v>410</v>
      </c>
      <c r="M61" s="3" t="s">
        <v>411</v>
      </c>
      <c r="N61" s="3" t="s">
        <v>412</v>
      </c>
      <c r="O61" s="3" t="s">
        <v>413</v>
      </c>
      <c r="P61" s="3" t="s">
        <v>414</v>
      </c>
      <c r="Q61" s="3" t="s">
        <v>415</v>
      </c>
      <c r="R61" s="64"/>
    </row>
    <row r="62" spans="1:18">
      <c r="A62" s="3" t="s">
        <v>90</v>
      </c>
      <c r="B62" s="3" t="s">
        <v>416</v>
      </c>
      <c r="C62" s="2" t="s">
        <v>74</v>
      </c>
      <c r="D62" s="3" t="s">
        <v>263</v>
      </c>
      <c r="E62" s="3" t="s">
        <v>264</v>
      </c>
      <c r="F62" s="3" t="s">
        <v>265</v>
      </c>
      <c r="G62" s="3" t="s">
        <v>418</v>
      </c>
      <c r="H62" s="3" t="s">
        <v>417</v>
      </c>
      <c r="I62" s="3" t="s">
        <v>420</v>
      </c>
      <c r="J62" s="3" t="s">
        <v>421</v>
      </c>
      <c r="K62" s="3" t="s">
        <v>268</v>
      </c>
      <c r="L62" s="3" t="s">
        <v>419</v>
      </c>
      <c r="M62" s="3" t="s">
        <v>422</v>
      </c>
      <c r="N62" s="3" t="s">
        <v>423</v>
      </c>
      <c r="O62" s="3" t="s">
        <v>425</v>
      </c>
      <c r="P62" s="3" t="s">
        <v>424</v>
      </c>
      <c r="Q62" s="3" t="s">
        <v>426</v>
      </c>
      <c r="R62" s="64"/>
    </row>
    <row r="63" spans="1:18">
      <c r="A63" s="3" t="s">
        <v>91</v>
      </c>
      <c r="B63" s="3" t="s">
        <v>427</v>
      </c>
      <c r="C63" s="2" t="s">
        <v>58</v>
      </c>
      <c r="D63" s="3" t="s">
        <v>428</v>
      </c>
      <c r="E63" s="3" t="s">
        <v>437</v>
      </c>
      <c r="F63" s="3" t="s">
        <v>441</v>
      </c>
      <c r="G63" s="3" t="s">
        <v>429</v>
      </c>
      <c r="H63" s="3" t="s">
        <v>432</v>
      </c>
      <c r="I63" s="3" t="s">
        <v>433</v>
      </c>
      <c r="J63" s="3" t="s">
        <v>434</v>
      </c>
      <c r="K63" s="3" t="s">
        <v>435</v>
      </c>
      <c r="L63" s="3" t="s">
        <v>436</v>
      </c>
      <c r="M63" s="3" t="s">
        <v>430</v>
      </c>
      <c r="N63" s="3" t="s">
        <v>439</v>
      </c>
      <c r="O63" s="3" t="s">
        <v>440</v>
      </c>
      <c r="P63" s="3" t="s">
        <v>431</v>
      </c>
      <c r="Q63" s="3" t="s">
        <v>438</v>
      </c>
      <c r="R63" s="64"/>
    </row>
    <row r="64" spans="1:18">
      <c r="B64" s="3"/>
      <c r="R64" s="64"/>
    </row>
    <row r="65" spans="1:18">
      <c r="A65" s="3" t="s">
        <v>86</v>
      </c>
      <c r="B65" s="3" t="s">
        <v>664</v>
      </c>
      <c r="C65" s="2" t="s">
        <v>59</v>
      </c>
      <c r="D65" s="3" t="s">
        <v>60</v>
      </c>
      <c r="E65" s="3" t="s">
        <v>671</v>
      </c>
      <c r="F65" s="3" t="s">
        <v>276</v>
      </c>
      <c r="G65" s="3" t="s">
        <v>275</v>
      </c>
      <c r="H65" s="3" t="s">
        <v>277</v>
      </c>
      <c r="I65" s="3" t="s">
        <v>366</v>
      </c>
      <c r="J65" s="3" t="s">
        <v>665</v>
      </c>
      <c r="K65" s="3" t="s">
        <v>274</v>
      </c>
      <c r="L65" s="3" t="s">
        <v>666</v>
      </c>
      <c r="M65" s="3" t="s">
        <v>667</v>
      </c>
      <c r="N65" s="3" t="s">
        <v>668</v>
      </c>
      <c r="O65" s="3" t="s">
        <v>588</v>
      </c>
      <c r="P65" s="3" t="s">
        <v>669</v>
      </c>
      <c r="Q65" s="3" t="s">
        <v>670</v>
      </c>
      <c r="R65" s="64"/>
    </row>
    <row r="66" spans="1:18">
      <c r="A66" s="3" t="s">
        <v>87</v>
      </c>
      <c r="B66" s="3" t="s">
        <v>442</v>
      </c>
      <c r="C66" s="2" t="s">
        <v>350</v>
      </c>
      <c r="D66" s="3" t="s">
        <v>450</v>
      </c>
      <c r="E66" s="3" t="s">
        <v>57</v>
      </c>
      <c r="F66" s="3" t="s">
        <v>278</v>
      </c>
      <c r="G66" s="3" t="s">
        <v>443</v>
      </c>
      <c r="H66" s="3" t="s">
        <v>279</v>
      </c>
      <c r="I66" s="3" t="s">
        <v>444</v>
      </c>
      <c r="J66" s="3" t="s">
        <v>445</v>
      </c>
      <c r="K66" s="3" t="s">
        <v>446</v>
      </c>
      <c r="L66" s="3" t="s">
        <v>447</v>
      </c>
      <c r="M66" s="3" t="s">
        <v>448</v>
      </c>
      <c r="N66" s="3" t="s">
        <v>449</v>
      </c>
      <c r="O66" s="3" t="s">
        <v>451</v>
      </c>
      <c r="P66" s="3" t="s">
        <v>378</v>
      </c>
      <c r="Q66" s="3" t="s">
        <v>452</v>
      </c>
      <c r="R66" s="64"/>
    </row>
    <row r="67" spans="1:18">
      <c r="A67" s="3" t="s">
        <v>88</v>
      </c>
      <c r="B67" s="3" t="s">
        <v>453</v>
      </c>
      <c r="C67" s="2" t="s">
        <v>81</v>
      </c>
      <c r="D67" s="3" t="s">
        <v>455</v>
      </c>
      <c r="E67" s="3" t="s">
        <v>463</v>
      </c>
      <c r="F67" s="3" t="s">
        <v>454</v>
      </c>
      <c r="G67" s="3" t="s">
        <v>456</v>
      </c>
      <c r="H67" s="3" t="s">
        <v>457</v>
      </c>
      <c r="I67" s="3" t="s">
        <v>458</v>
      </c>
      <c r="J67" s="3" t="s">
        <v>459</v>
      </c>
      <c r="K67" s="3" t="s">
        <v>460</v>
      </c>
      <c r="L67" s="3" t="s">
        <v>461</v>
      </c>
      <c r="M67" s="3" t="s">
        <v>462</v>
      </c>
      <c r="N67" s="3" t="s">
        <v>464</v>
      </c>
      <c r="O67" s="3" t="s">
        <v>465</v>
      </c>
      <c r="P67" s="3" t="s">
        <v>466</v>
      </c>
      <c r="Q67" s="3" t="s">
        <v>467</v>
      </c>
      <c r="R67" s="64"/>
    </row>
    <row r="68" spans="1:18">
      <c r="A68" s="3" t="s">
        <v>89</v>
      </c>
      <c r="B68" s="3" t="s">
        <v>468</v>
      </c>
      <c r="C68" s="2" t="s">
        <v>351</v>
      </c>
      <c r="D68" s="3" t="s">
        <v>454</v>
      </c>
      <c r="E68" s="3" t="s">
        <v>471</v>
      </c>
      <c r="F68" s="3" t="s">
        <v>289</v>
      </c>
      <c r="G68" s="3" t="s">
        <v>288</v>
      </c>
      <c r="H68" s="3" t="s">
        <v>469</v>
      </c>
      <c r="I68" s="3" t="s">
        <v>470</v>
      </c>
      <c r="J68" s="3" t="s">
        <v>472</v>
      </c>
      <c r="K68" s="3" t="s">
        <v>473</v>
      </c>
      <c r="L68" s="3" t="s">
        <v>474</v>
      </c>
      <c r="M68" s="3" t="s">
        <v>475</v>
      </c>
      <c r="N68" s="3" t="s">
        <v>476</v>
      </c>
      <c r="O68" s="3" t="s">
        <v>477</v>
      </c>
      <c r="P68" s="3" t="s">
        <v>279</v>
      </c>
      <c r="Q68" s="3" t="s">
        <v>478</v>
      </c>
      <c r="R68" s="64"/>
    </row>
    <row r="69" spans="1:18">
      <c r="A69" s="3" t="s">
        <v>90</v>
      </c>
      <c r="B69" s="3" t="s">
        <v>479</v>
      </c>
      <c r="C69" s="2" t="s">
        <v>353</v>
      </c>
      <c r="D69" s="3" t="s">
        <v>294</v>
      </c>
      <c r="E69" s="3" t="s">
        <v>293</v>
      </c>
      <c r="F69" s="3" t="s">
        <v>480</v>
      </c>
      <c r="G69" s="3" t="s">
        <v>481</v>
      </c>
      <c r="H69" s="3" t="s">
        <v>482</v>
      </c>
      <c r="I69" s="3" t="s">
        <v>483</v>
      </c>
      <c r="J69" s="3" t="s">
        <v>484</v>
      </c>
      <c r="K69" s="3" t="s">
        <v>485</v>
      </c>
      <c r="L69" s="3" t="s">
        <v>486</v>
      </c>
      <c r="M69" s="3" t="s">
        <v>295</v>
      </c>
      <c r="N69" s="3" t="s">
        <v>487</v>
      </c>
      <c r="O69" s="3" t="s">
        <v>488</v>
      </c>
      <c r="P69" s="3" t="s">
        <v>63</v>
      </c>
      <c r="Q69" s="3" t="s">
        <v>489</v>
      </c>
      <c r="R69" s="64"/>
    </row>
    <row r="70" spans="1:18">
      <c r="A70" s="3" t="s">
        <v>91</v>
      </c>
      <c r="B70" s="3" t="s">
        <v>490</v>
      </c>
      <c r="C70" s="2" t="s">
        <v>63</v>
      </c>
      <c r="D70" s="3" t="s">
        <v>500</v>
      </c>
      <c r="E70" s="3" t="s">
        <v>360</v>
      </c>
      <c r="F70" s="3" t="s">
        <v>296</v>
      </c>
      <c r="G70" s="3" t="s">
        <v>300</v>
      </c>
      <c r="H70" s="3" t="s">
        <v>297</v>
      </c>
      <c r="I70" s="3" t="s">
        <v>491</v>
      </c>
      <c r="J70" s="3" t="s">
        <v>492</v>
      </c>
      <c r="K70" s="3" t="s">
        <v>493</v>
      </c>
      <c r="L70" s="3" t="s">
        <v>494</v>
      </c>
      <c r="M70" s="3" t="s">
        <v>495</v>
      </c>
      <c r="N70" s="3" t="s">
        <v>496</v>
      </c>
      <c r="O70" s="3" t="s">
        <v>497</v>
      </c>
      <c r="P70" s="3" t="s">
        <v>498</v>
      </c>
      <c r="Q70" s="3" t="s">
        <v>499</v>
      </c>
    </row>
    <row r="71" spans="1:18">
      <c r="A71" s="3"/>
      <c r="B71" s="3"/>
    </row>
    <row r="72" spans="1:18">
      <c r="A72" s="3" t="s">
        <v>86</v>
      </c>
      <c r="B72" s="3" t="s">
        <v>501</v>
      </c>
      <c r="C72" s="2" t="s">
        <v>61</v>
      </c>
      <c r="D72" s="3" t="s">
        <v>304</v>
      </c>
      <c r="E72" s="3" t="s">
        <v>302</v>
      </c>
      <c r="F72" s="3" t="s">
        <v>502</v>
      </c>
      <c r="G72" s="3" t="s">
        <v>503</v>
      </c>
      <c r="H72" s="3" t="s">
        <v>504</v>
      </c>
      <c r="I72" s="3" t="s">
        <v>505</v>
      </c>
      <c r="J72" s="3" t="s">
        <v>506</v>
      </c>
      <c r="K72" s="3" t="s">
        <v>507</v>
      </c>
      <c r="L72" s="3" t="s">
        <v>508</v>
      </c>
      <c r="M72" s="3" t="s">
        <v>509</v>
      </c>
      <c r="N72" s="3" t="s">
        <v>510</v>
      </c>
      <c r="O72" s="3" t="s">
        <v>511</v>
      </c>
      <c r="P72" s="3" t="s">
        <v>512</v>
      </c>
      <c r="Q72" s="3" t="s">
        <v>513</v>
      </c>
    </row>
    <row r="73" spans="1:18">
      <c r="A73" s="3" t="s">
        <v>87</v>
      </c>
      <c r="B73" s="3" t="s">
        <v>55</v>
      </c>
      <c r="C73" s="2" t="s">
        <v>361</v>
      </c>
      <c r="D73" s="3" t="s">
        <v>514</v>
      </c>
      <c r="E73" s="3" t="s">
        <v>515</v>
      </c>
      <c r="F73" s="3" t="s">
        <v>516</v>
      </c>
      <c r="G73" s="3" t="s">
        <v>517</v>
      </c>
      <c r="H73" s="3" t="s">
        <v>518</v>
      </c>
      <c r="I73" s="3" t="s">
        <v>519</v>
      </c>
      <c r="J73" s="3" t="s">
        <v>520</v>
      </c>
      <c r="K73" s="3" t="s">
        <v>521</v>
      </c>
      <c r="L73" s="3" t="s">
        <v>522</v>
      </c>
      <c r="M73" s="3" t="s">
        <v>523</v>
      </c>
      <c r="N73" s="3" t="s">
        <v>305</v>
      </c>
      <c r="O73" s="3" t="s">
        <v>524</v>
      </c>
      <c r="P73" s="3" t="s">
        <v>525</v>
      </c>
      <c r="Q73" s="3" t="s">
        <v>526</v>
      </c>
    </row>
    <row r="74" spans="1:18">
      <c r="A74" s="3" t="s">
        <v>88</v>
      </c>
      <c r="B74" s="3" t="s">
        <v>528</v>
      </c>
      <c r="C74" s="2" t="s">
        <v>527</v>
      </c>
      <c r="D74" s="3" t="s">
        <v>292</v>
      </c>
      <c r="E74" s="3" t="s">
        <v>529</v>
      </c>
      <c r="F74" s="3" t="s">
        <v>306</v>
      </c>
      <c r="G74" s="3" t="s">
        <v>530</v>
      </c>
      <c r="H74" s="3" t="s">
        <v>531</v>
      </c>
      <c r="I74" s="3" t="s">
        <v>532</v>
      </c>
      <c r="J74" s="3" t="s">
        <v>533</v>
      </c>
      <c r="K74" s="3" t="s">
        <v>534</v>
      </c>
      <c r="L74" s="3" t="s">
        <v>535</v>
      </c>
      <c r="M74" s="3" t="s">
        <v>536</v>
      </c>
      <c r="N74" s="3" t="s">
        <v>537</v>
      </c>
      <c r="O74" s="3" t="s">
        <v>538</v>
      </c>
      <c r="P74" s="3" t="s">
        <v>308</v>
      </c>
      <c r="Q74" s="3" t="s">
        <v>307</v>
      </c>
    </row>
    <row r="75" spans="1:18">
      <c r="A75" s="3" t="s">
        <v>89</v>
      </c>
      <c r="B75" s="3" t="s">
        <v>539</v>
      </c>
      <c r="C75" s="2" t="s">
        <v>62</v>
      </c>
      <c r="D75" s="3" t="s">
        <v>310</v>
      </c>
      <c r="E75" s="3" t="s">
        <v>540</v>
      </c>
      <c r="F75" s="3" t="s">
        <v>309</v>
      </c>
      <c r="G75" s="3" t="s">
        <v>541</v>
      </c>
      <c r="H75" s="3" t="s">
        <v>542</v>
      </c>
      <c r="I75" s="3" t="s">
        <v>543</v>
      </c>
      <c r="J75" s="3" t="s">
        <v>544</v>
      </c>
      <c r="K75" s="3" t="s">
        <v>545</v>
      </c>
      <c r="L75" s="3" t="s">
        <v>546</v>
      </c>
      <c r="M75" s="3" t="s">
        <v>547</v>
      </c>
      <c r="N75" s="3" t="s">
        <v>548</v>
      </c>
      <c r="O75" s="3" t="s">
        <v>549</v>
      </c>
      <c r="P75" s="3" t="s">
        <v>550</v>
      </c>
      <c r="Q75" s="3" t="s">
        <v>551</v>
      </c>
    </row>
    <row r="76" spans="1:18">
      <c r="A76" s="3" t="s">
        <v>90</v>
      </c>
      <c r="B76" s="3" t="s">
        <v>552</v>
      </c>
      <c r="C76" s="2" t="s">
        <v>77</v>
      </c>
      <c r="D76" s="3" t="s">
        <v>316</v>
      </c>
      <c r="E76" s="3" t="s">
        <v>553</v>
      </c>
      <c r="F76" s="3" t="s">
        <v>554</v>
      </c>
      <c r="G76" s="3" t="s">
        <v>555</v>
      </c>
      <c r="H76" s="3" t="s">
        <v>556</v>
      </c>
      <c r="I76" s="3" t="s">
        <v>557</v>
      </c>
      <c r="J76" s="3" t="s">
        <v>558</v>
      </c>
      <c r="K76" s="3" t="s">
        <v>559</v>
      </c>
      <c r="L76" s="3" t="s">
        <v>560</v>
      </c>
      <c r="M76" s="3" t="s">
        <v>561</v>
      </c>
      <c r="N76" s="3" t="s">
        <v>562</v>
      </c>
      <c r="O76" s="3" t="s">
        <v>563</v>
      </c>
      <c r="P76" s="3" t="s">
        <v>564</v>
      </c>
      <c r="Q76" s="3" t="s">
        <v>565</v>
      </c>
    </row>
    <row r="77" spans="1:18">
      <c r="A77" s="3" t="s">
        <v>91</v>
      </c>
      <c r="B77" s="3" t="s">
        <v>566</v>
      </c>
      <c r="C77" s="2" t="s">
        <v>66</v>
      </c>
      <c r="D77" s="3" t="s">
        <v>567</v>
      </c>
      <c r="E77" s="3" t="s">
        <v>568</v>
      </c>
      <c r="F77" s="3" t="s">
        <v>569</v>
      </c>
      <c r="G77" s="3" t="s">
        <v>570</v>
      </c>
      <c r="H77" s="3" t="s">
        <v>571</v>
      </c>
      <c r="I77" s="3" t="s">
        <v>572</v>
      </c>
      <c r="J77" s="3" t="s">
        <v>573</v>
      </c>
      <c r="K77" s="3" t="s">
        <v>574</v>
      </c>
      <c r="L77" s="3" t="s">
        <v>575</v>
      </c>
      <c r="M77" s="3" t="s">
        <v>258</v>
      </c>
      <c r="N77" s="3" t="s">
        <v>576</v>
      </c>
      <c r="O77" s="3" t="s">
        <v>577</v>
      </c>
      <c r="P77" s="3" t="s">
        <v>578</v>
      </c>
      <c r="Q77" s="3" t="s">
        <v>579</v>
      </c>
    </row>
    <row r="78" spans="1:18">
      <c r="A78" s="3"/>
      <c r="B78" s="3"/>
    </row>
    <row r="79" spans="1:18">
      <c r="A79" s="3" t="s">
        <v>86</v>
      </c>
      <c r="B79" s="3" t="s">
        <v>580</v>
      </c>
      <c r="C79" s="2" t="s">
        <v>60</v>
      </c>
      <c r="D79" s="3" t="s">
        <v>59</v>
      </c>
      <c r="E79" s="3" t="s">
        <v>366</v>
      </c>
      <c r="F79" s="3" t="s">
        <v>273</v>
      </c>
      <c r="G79" s="3" t="s">
        <v>581</v>
      </c>
      <c r="H79" s="3" t="s">
        <v>274</v>
      </c>
      <c r="I79" s="3" t="s">
        <v>582</v>
      </c>
      <c r="J79" s="3" t="s">
        <v>583</v>
      </c>
      <c r="K79" s="3" t="s">
        <v>584</v>
      </c>
      <c r="L79" s="3" t="s">
        <v>585</v>
      </c>
      <c r="M79" s="3" t="s">
        <v>586</v>
      </c>
      <c r="N79" s="3" t="s">
        <v>587</v>
      </c>
      <c r="O79" s="3" t="s">
        <v>588</v>
      </c>
      <c r="P79" s="3" t="s">
        <v>589</v>
      </c>
      <c r="Q79" s="3" t="s">
        <v>590</v>
      </c>
    </row>
    <row r="80" spans="1:18">
      <c r="A80" s="3" t="s">
        <v>87</v>
      </c>
      <c r="B80" s="3" t="s">
        <v>591</v>
      </c>
      <c r="C80" s="2" t="s">
        <v>68</v>
      </c>
      <c r="D80" s="3" t="s">
        <v>56</v>
      </c>
      <c r="E80" s="3" t="s">
        <v>592</v>
      </c>
      <c r="F80" s="3" t="s">
        <v>593</v>
      </c>
      <c r="G80" s="3" t="s">
        <v>594</v>
      </c>
      <c r="H80" s="3" t="s">
        <v>595</v>
      </c>
      <c r="I80" s="3" t="s">
        <v>596</v>
      </c>
      <c r="J80" s="3" t="s">
        <v>597</v>
      </c>
      <c r="K80" s="3" t="s">
        <v>598</v>
      </c>
      <c r="L80" s="3" t="s">
        <v>599</v>
      </c>
      <c r="M80" s="3" t="s">
        <v>600</v>
      </c>
      <c r="N80" s="3" t="s">
        <v>601</v>
      </c>
      <c r="O80" s="3" t="s">
        <v>602</v>
      </c>
      <c r="P80" s="3" t="s">
        <v>603</v>
      </c>
      <c r="Q80" s="3" t="s">
        <v>604</v>
      </c>
    </row>
    <row r="81" spans="1:17">
      <c r="A81" s="3" t="s">
        <v>88</v>
      </c>
      <c r="B81" s="3" t="s">
        <v>605</v>
      </c>
      <c r="C81" s="2" t="s">
        <v>65</v>
      </c>
      <c r="D81" s="3" t="s">
        <v>606</v>
      </c>
      <c r="E81" s="3" t="s">
        <v>607</v>
      </c>
      <c r="F81" s="3" t="s">
        <v>608</v>
      </c>
      <c r="G81" s="3" t="s">
        <v>609</v>
      </c>
      <c r="H81" s="3" t="s">
        <v>610</v>
      </c>
      <c r="I81" s="3" t="s">
        <v>611</v>
      </c>
      <c r="J81" s="3" t="s">
        <v>612</v>
      </c>
      <c r="K81" s="3" t="s">
        <v>613</v>
      </c>
      <c r="L81" s="3" t="s">
        <v>614</v>
      </c>
      <c r="M81" s="3" t="s">
        <v>615</v>
      </c>
      <c r="N81" s="3" t="s">
        <v>616</v>
      </c>
      <c r="O81" s="3" t="s">
        <v>617</v>
      </c>
      <c r="P81" s="3" t="s">
        <v>618</v>
      </c>
      <c r="Q81" s="3" t="s">
        <v>619</v>
      </c>
    </row>
    <row r="82" spans="1:17">
      <c r="A82" s="3" t="s">
        <v>89</v>
      </c>
      <c r="B82" s="3" t="s">
        <v>620</v>
      </c>
      <c r="C82" s="2" t="s">
        <v>57</v>
      </c>
      <c r="D82" s="3" t="s">
        <v>621</v>
      </c>
      <c r="E82" s="3" t="s">
        <v>278</v>
      </c>
      <c r="F82" s="3" t="s">
        <v>622</v>
      </c>
      <c r="G82" s="3" t="s">
        <v>623</v>
      </c>
      <c r="H82" s="3" t="s">
        <v>624</v>
      </c>
      <c r="I82" s="3" t="s">
        <v>625</v>
      </c>
      <c r="J82" s="3" t="s">
        <v>626</v>
      </c>
      <c r="K82" s="3" t="s">
        <v>627</v>
      </c>
      <c r="L82" s="3" t="s">
        <v>628</v>
      </c>
      <c r="M82" s="3" t="s">
        <v>629</v>
      </c>
      <c r="N82" s="3" t="s">
        <v>630</v>
      </c>
      <c r="O82" s="3" t="s">
        <v>631</v>
      </c>
      <c r="P82" s="3" t="s">
        <v>632</v>
      </c>
      <c r="Q82" s="3" t="s">
        <v>633</v>
      </c>
    </row>
    <row r="83" spans="1:17">
      <c r="A83" s="3" t="s">
        <v>90</v>
      </c>
      <c r="B83" s="3" t="s">
        <v>635</v>
      </c>
      <c r="C83" s="2" t="s">
        <v>634</v>
      </c>
      <c r="D83" s="3" t="s">
        <v>636</v>
      </c>
      <c r="E83" s="3" t="s">
        <v>637</v>
      </c>
      <c r="F83" s="3" t="s">
        <v>638</v>
      </c>
      <c r="G83" s="3" t="s">
        <v>639</v>
      </c>
      <c r="H83" s="3" t="s">
        <v>446</v>
      </c>
      <c r="I83" s="3" t="s">
        <v>640</v>
      </c>
      <c r="J83" s="3" t="s">
        <v>641</v>
      </c>
      <c r="K83" s="3" t="s">
        <v>642</v>
      </c>
      <c r="L83" s="3" t="s">
        <v>643</v>
      </c>
      <c r="M83" s="3" t="s">
        <v>644</v>
      </c>
      <c r="N83" s="3" t="s">
        <v>645</v>
      </c>
      <c r="O83" s="3" t="s">
        <v>646</v>
      </c>
      <c r="P83" s="3" t="s">
        <v>647</v>
      </c>
      <c r="Q83" s="3" t="s">
        <v>648</v>
      </c>
    </row>
    <row r="84" spans="1:17">
      <c r="A84" s="3" t="s">
        <v>91</v>
      </c>
      <c r="B84" s="3" t="s">
        <v>649</v>
      </c>
      <c r="C84" s="2" t="s">
        <v>82</v>
      </c>
      <c r="D84" s="3" t="s">
        <v>650</v>
      </c>
      <c r="E84" s="3" t="s">
        <v>651</v>
      </c>
      <c r="F84" s="3" t="s">
        <v>652</v>
      </c>
      <c r="G84" s="3" t="s">
        <v>653</v>
      </c>
      <c r="H84" s="3" t="s">
        <v>654</v>
      </c>
      <c r="I84" s="3" t="s">
        <v>655</v>
      </c>
      <c r="J84" s="3" t="s">
        <v>656</v>
      </c>
      <c r="K84" s="3" t="s">
        <v>657</v>
      </c>
      <c r="L84" s="3" t="s">
        <v>658</v>
      </c>
      <c r="M84" s="3" t="s">
        <v>659</v>
      </c>
      <c r="N84" s="3" t="s">
        <v>660</v>
      </c>
      <c r="O84" s="3" t="s">
        <v>661</v>
      </c>
      <c r="P84" s="3" t="s">
        <v>662</v>
      </c>
      <c r="Q84" s="3" t="s">
        <v>663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F616-44E0-4F99-BE4D-6B20582A8D1B}">
  <dimension ref="A1:J226"/>
  <sheetViews>
    <sheetView workbookViewId="0">
      <selection sqref="A1:XFD1048576"/>
    </sheetView>
  </sheetViews>
  <sheetFormatPr defaultRowHeight="14.5"/>
  <cols>
    <col min="1" max="1" width="8.54296875" style="3" bestFit="1" customWidth="1"/>
    <col min="2" max="2" width="5.54296875" style="16" bestFit="1" customWidth="1"/>
    <col min="3" max="3" width="6.81640625" style="16" bestFit="1" customWidth="1"/>
    <col min="4" max="4" width="6.08984375" style="16" bestFit="1" customWidth="1"/>
    <col min="5" max="5" width="4.1796875" style="63" customWidth="1"/>
    <col min="6" max="6" width="5" style="2" bestFit="1" customWidth="1"/>
    <col min="7" max="7" width="5.1796875" style="3" bestFit="1" customWidth="1"/>
    <col min="8" max="8" width="8.1796875" style="3" bestFit="1" customWidth="1"/>
    <col min="9" max="9" width="7.08984375" style="3" bestFit="1" customWidth="1"/>
  </cols>
  <sheetData>
    <row r="1" spans="1:10">
      <c r="A1" s="60" t="s">
        <v>152</v>
      </c>
      <c r="B1" s="62" t="s">
        <v>14</v>
      </c>
      <c r="C1" s="62" t="s">
        <v>1</v>
      </c>
      <c r="D1" s="62" t="s">
        <v>2</v>
      </c>
      <c r="E1" s="62"/>
      <c r="F1" s="60" t="s">
        <v>156</v>
      </c>
      <c r="G1" s="60" t="s">
        <v>157</v>
      </c>
      <c r="H1" s="60" t="s">
        <v>177</v>
      </c>
      <c r="I1" s="60" t="s">
        <v>153</v>
      </c>
      <c r="J1" s="61" t="s">
        <v>154</v>
      </c>
    </row>
    <row r="2" spans="1:10">
      <c r="A2" s="2" t="s">
        <v>145</v>
      </c>
      <c r="F2" s="2">
        <v>1</v>
      </c>
      <c r="G2" s="3">
        <v>1</v>
      </c>
      <c r="H2" s="3">
        <v>2592</v>
      </c>
      <c r="J2" t="s">
        <v>155</v>
      </c>
    </row>
    <row r="3" spans="1:10">
      <c r="G3" s="3">
        <v>2</v>
      </c>
      <c r="H3" s="3">
        <v>2596</v>
      </c>
      <c r="J3" t="s">
        <v>158</v>
      </c>
    </row>
    <row r="4" spans="1:10">
      <c r="G4" s="3">
        <v>3</v>
      </c>
      <c r="H4" s="3">
        <v>2598</v>
      </c>
      <c r="J4" t="s">
        <v>159</v>
      </c>
    </row>
    <row r="5" spans="1:10">
      <c r="G5" s="3">
        <v>4</v>
      </c>
      <c r="H5" s="3">
        <v>2601</v>
      </c>
      <c r="J5" t="s">
        <v>160</v>
      </c>
    </row>
    <row r="6" spans="1:10">
      <c r="G6" s="3">
        <v>5</v>
      </c>
      <c r="H6" s="3">
        <v>2602</v>
      </c>
      <c r="J6" t="s">
        <v>161</v>
      </c>
    </row>
    <row r="7" spans="1:10">
      <c r="G7" s="3">
        <v>6</v>
      </c>
      <c r="H7" s="3">
        <v>2603</v>
      </c>
      <c r="J7" t="s">
        <v>162</v>
      </c>
    </row>
    <row r="8" spans="1:10">
      <c r="G8" s="3">
        <v>7</v>
      </c>
      <c r="H8" s="3">
        <v>2984</v>
      </c>
      <c r="J8" t="s">
        <v>163</v>
      </c>
    </row>
    <row r="9" spans="1:10">
      <c r="G9" s="3">
        <v>8</v>
      </c>
      <c r="H9" s="3">
        <v>2985</v>
      </c>
      <c r="J9" t="s">
        <v>164</v>
      </c>
    </row>
    <row r="11" spans="1:10">
      <c r="A11" s="2" t="s">
        <v>147</v>
      </c>
      <c r="D11" s="16">
        <v>1</v>
      </c>
      <c r="E11" s="63" t="s">
        <v>320</v>
      </c>
      <c r="F11" s="2">
        <v>2</v>
      </c>
      <c r="G11" s="3">
        <v>9</v>
      </c>
      <c r="H11" s="3">
        <v>2529</v>
      </c>
      <c r="I11" s="3">
        <v>2627</v>
      </c>
      <c r="J11" t="s">
        <v>165</v>
      </c>
    </row>
    <row r="12" spans="1:10">
      <c r="D12" s="16">
        <v>1</v>
      </c>
      <c r="E12" s="63" t="s">
        <v>320</v>
      </c>
      <c r="G12" s="3">
        <v>10</v>
      </c>
      <c r="H12" s="3">
        <v>2530</v>
      </c>
      <c r="I12" s="3">
        <v>2628</v>
      </c>
      <c r="J12" t="s">
        <v>166</v>
      </c>
    </row>
    <row r="13" spans="1:10">
      <c r="B13" s="16">
        <v>1</v>
      </c>
      <c r="E13" s="63" t="s">
        <v>320</v>
      </c>
      <c r="G13" s="3">
        <v>11</v>
      </c>
      <c r="H13" s="3">
        <v>2531</v>
      </c>
      <c r="I13" s="3">
        <v>2629</v>
      </c>
      <c r="J13" t="s">
        <v>167</v>
      </c>
    </row>
    <row r="15" spans="1:10">
      <c r="B15" s="16">
        <v>1</v>
      </c>
      <c r="E15" s="63" t="s">
        <v>320</v>
      </c>
      <c r="F15" s="2">
        <v>3</v>
      </c>
      <c r="G15" s="3">
        <v>12</v>
      </c>
      <c r="H15" s="3">
        <v>2536</v>
      </c>
      <c r="I15" s="3">
        <v>2632</v>
      </c>
      <c r="J15" t="s">
        <v>168</v>
      </c>
    </row>
    <row r="16" spans="1:10">
      <c r="C16" s="16">
        <v>1</v>
      </c>
      <c r="E16" s="63" t="s">
        <v>107</v>
      </c>
      <c r="G16" s="3">
        <v>13</v>
      </c>
      <c r="H16" s="3">
        <v>2612</v>
      </c>
      <c r="I16" s="3">
        <v>2633</v>
      </c>
      <c r="J16" t="s">
        <v>169</v>
      </c>
    </row>
    <row r="17" spans="2:10">
      <c r="B17" s="16">
        <v>1</v>
      </c>
      <c r="E17" s="63" t="s">
        <v>320</v>
      </c>
      <c r="G17" s="3">
        <v>14</v>
      </c>
      <c r="H17" s="3">
        <v>2537</v>
      </c>
      <c r="I17" s="3">
        <v>2635</v>
      </c>
      <c r="J17" t="s">
        <v>170</v>
      </c>
    </row>
    <row r="18" spans="2:10">
      <c r="C18" s="16">
        <v>1</v>
      </c>
      <c r="E18" s="63" t="s">
        <v>107</v>
      </c>
      <c r="G18" s="3">
        <v>15</v>
      </c>
      <c r="H18" s="3">
        <v>2613</v>
      </c>
      <c r="I18" s="3">
        <v>2634</v>
      </c>
      <c r="J18" t="s">
        <v>169</v>
      </c>
    </row>
    <row r="19" spans="2:10">
      <c r="B19" s="16">
        <v>1</v>
      </c>
      <c r="E19" s="63" t="s">
        <v>320</v>
      </c>
      <c r="G19" s="3">
        <v>16</v>
      </c>
      <c r="H19" s="3">
        <v>2538</v>
      </c>
      <c r="I19" s="3">
        <v>2636</v>
      </c>
      <c r="J19" t="s">
        <v>171</v>
      </c>
    </row>
    <row r="20" spans="2:10">
      <c r="C20" s="16">
        <v>1</v>
      </c>
      <c r="E20" s="63" t="s">
        <v>107</v>
      </c>
      <c r="G20" s="3">
        <v>17</v>
      </c>
      <c r="H20" s="3">
        <v>2614</v>
      </c>
      <c r="I20" s="3">
        <v>2637</v>
      </c>
      <c r="J20" t="s">
        <v>169</v>
      </c>
    </row>
    <row r="21" spans="2:10">
      <c r="B21" s="16">
        <v>1</v>
      </c>
      <c r="E21" s="63" t="s">
        <v>320</v>
      </c>
      <c r="G21" s="3">
        <v>18</v>
      </c>
      <c r="H21" s="3">
        <v>2539</v>
      </c>
      <c r="I21" s="3">
        <v>2639</v>
      </c>
      <c r="J21" t="s">
        <v>172</v>
      </c>
    </row>
    <row r="22" spans="2:10">
      <c r="C22" s="16">
        <v>1</v>
      </c>
      <c r="E22" s="63" t="s">
        <v>107</v>
      </c>
      <c r="G22" s="3">
        <v>19</v>
      </c>
      <c r="H22" s="3">
        <v>2615</v>
      </c>
      <c r="I22" s="3">
        <v>2638</v>
      </c>
      <c r="J22" t="s">
        <v>169</v>
      </c>
    </row>
    <row r="24" spans="2:10">
      <c r="B24" s="16">
        <v>1</v>
      </c>
      <c r="E24" s="63" t="s">
        <v>107</v>
      </c>
      <c r="F24" s="2">
        <v>4</v>
      </c>
      <c r="G24" s="3">
        <v>20</v>
      </c>
      <c r="H24" s="3">
        <v>2541</v>
      </c>
      <c r="I24" s="3">
        <v>2642</v>
      </c>
      <c r="J24" t="s">
        <v>173</v>
      </c>
    </row>
    <row r="25" spans="2:10">
      <c r="C25" s="16">
        <v>1</v>
      </c>
      <c r="E25" s="63" t="s">
        <v>107</v>
      </c>
      <c r="G25" s="3">
        <v>21</v>
      </c>
      <c r="H25" s="3">
        <v>2614</v>
      </c>
      <c r="I25" s="3">
        <v>2643</v>
      </c>
      <c r="J25" t="s">
        <v>174</v>
      </c>
    </row>
    <row r="26" spans="2:10">
      <c r="B26" s="16">
        <v>1</v>
      </c>
      <c r="E26" s="63" t="s">
        <v>107</v>
      </c>
      <c r="G26" s="3">
        <v>22</v>
      </c>
      <c r="H26" s="3">
        <v>2540</v>
      </c>
      <c r="I26" s="3">
        <v>2640</v>
      </c>
      <c r="J26" t="s">
        <v>175</v>
      </c>
    </row>
    <row r="27" spans="2:10">
      <c r="C27" s="16">
        <v>1</v>
      </c>
      <c r="E27" s="63" t="s">
        <v>107</v>
      </c>
      <c r="G27" s="3">
        <v>23</v>
      </c>
      <c r="H27" s="3">
        <v>2616</v>
      </c>
      <c r="I27" s="3">
        <v>2641</v>
      </c>
      <c r="J27" t="s">
        <v>174</v>
      </c>
    </row>
    <row r="28" spans="2:10">
      <c r="B28" s="16">
        <v>1</v>
      </c>
      <c r="E28" s="63" t="s">
        <v>107</v>
      </c>
      <c r="G28" s="3">
        <v>24</v>
      </c>
      <c r="H28" s="3">
        <v>2618</v>
      </c>
      <c r="I28" s="3">
        <v>2644</v>
      </c>
      <c r="J28" t="s">
        <v>176</v>
      </c>
    </row>
    <row r="29" spans="2:10">
      <c r="C29" s="16">
        <v>1</v>
      </c>
      <c r="E29" s="63" t="s">
        <v>107</v>
      </c>
      <c r="G29" s="3">
        <v>25</v>
      </c>
      <c r="H29" s="3">
        <v>2619</v>
      </c>
      <c r="I29" s="3">
        <v>2645</v>
      </c>
      <c r="J29" t="s">
        <v>174</v>
      </c>
    </row>
    <row r="31" spans="2:10">
      <c r="C31" s="16">
        <v>1</v>
      </c>
      <c r="E31" s="63" t="s">
        <v>321</v>
      </c>
      <c r="F31" s="2">
        <v>5</v>
      </c>
      <c r="G31" s="3">
        <v>26</v>
      </c>
      <c r="H31" s="3">
        <v>2624</v>
      </c>
      <c r="I31" s="3">
        <v>2646</v>
      </c>
      <c r="J31" t="s">
        <v>178</v>
      </c>
    </row>
    <row r="32" spans="2:10">
      <c r="C32" s="16">
        <v>1</v>
      </c>
      <c r="E32" s="63" t="s">
        <v>321</v>
      </c>
      <c r="G32" s="3">
        <v>27</v>
      </c>
      <c r="H32" s="3">
        <v>2626</v>
      </c>
      <c r="I32" s="3">
        <v>2647</v>
      </c>
      <c r="J32" t="s">
        <v>179</v>
      </c>
    </row>
    <row r="33" spans="1:10">
      <c r="B33" s="16">
        <v>1</v>
      </c>
      <c r="E33" s="63" t="s">
        <v>107</v>
      </c>
      <c r="G33" s="3">
        <v>28</v>
      </c>
      <c r="H33" s="3">
        <v>2556</v>
      </c>
      <c r="I33" s="3">
        <v>2648</v>
      </c>
      <c r="J33" t="s">
        <v>180</v>
      </c>
    </row>
    <row r="34" spans="1:10">
      <c r="C34" s="16">
        <v>1</v>
      </c>
      <c r="E34" s="63" t="s">
        <v>107</v>
      </c>
      <c r="G34" s="3">
        <v>29</v>
      </c>
      <c r="H34" s="3">
        <v>2620</v>
      </c>
      <c r="I34" s="3">
        <v>2649</v>
      </c>
      <c r="J34" t="s">
        <v>181</v>
      </c>
    </row>
    <row r="35" spans="1:10">
      <c r="B35" s="16">
        <v>1</v>
      </c>
      <c r="E35" s="63" t="s">
        <v>107</v>
      </c>
      <c r="G35" s="3">
        <v>30</v>
      </c>
      <c r="H35" s="3">
        <v>2557</v>
      </c>
      <c r="I35" s="3">
        <v>2650</v>
      </c>
      <c r="J35" t="s">
        <v>182</v>
      </c>
    </row>
    <row r="36" spans="1:10">
      <c r="C36" s="16">
        <v>1</v>
      </c>
      <c r="E36" s="63" t="s">
        <v>107</v>
      </c>
      <c r="G36" s="3">
        <v>31</v>
      </c>
      <c r="H36" s="3">
        <v>2622</v>
      </c>
      <c r="I36" s="3">
        <v>2651</v>
      </c>
      <c r="J36" t="s">
        <v>181</v>
      </c>
    </row>
    <row r="37" spans="1:10">
      <c r="B37" s="16">
        <v>1</v>
      </c>
      <c r="E37" s="63" t="s">
        <v>320</v>
      </c>
      <c r="G37" s="3">
        <v>32</v>
      </c>
      <c r="H37" s="3">
        <v>2554</v>
      </c>
      <c r="I37" s="3">
        <v>2630</v>
      </c>
      <c r="J37" t="s">
        <v>183</v>
      </c>
    </row>
    <row r="38" spans="1:10">
      <c r="B38" s="16">
        <v>1</v>
      </c>
      <c r="E38" s="63" t="s">
        <v>320</v>
      </c>
      <c r="G38" s="3">
        <v>33</v>
      </c>
      <c r="H38" s="3">
        <v>2555</v>
      </c>
      <c r="I38" s="3">
        <v>2631</v>
      </c>
      <c r="J38" t="s">
        <v>184</v>
      </c>
    </row>
    <row r="40" spans="1:10">
      <c r="D40" s="16">
        <v>1</v>
      </c>
      <c r="E40" s="63" t="s">
        <v>107</v>
      </c>
      <c r="F40" s="2">
        <v>6</v>
      </c>
      <c r="G40" s="3">
        <v>34</v>
      </c>
      <c r="H40" s="3">
        <v>3347</v>
      </c>
      <c r="I40" s="3">
        <v>3349</v>
      </c>
      <c r="J40" t="s">
        <v>185</v>
      </c>
    </row>
    <row r="41" spans="1:10">
      <c r="D41" s="16">
        <v>1</v>
      </c>
      <c r="E41" s="63" t="s">
        <v>107</v>
      </c>
      <c r="G41" s="3">
        <v>35</v>
      </c>
      <c r="H41" s="3">
        <v>3350</v>
      </c>
      <c r="I41" s="3">
        <v>3351</v>
      </c>
      <c r="J41" t="s">
        <v>186</v>
      </c>
    </row>
    <row r="42" spans="1:10">
      <c r="D42" s="16">
        <v>1</v>
      </c>
      <c r="E42" s="63" t="s">
        <v>107</v>
      </c>
      <c r="G42" s="3">
        <v>36</v>
      </c>
      <c r="H42" s="3">
        <v>3352</v>
      </c>
      <c r="I42" s="3">
        <v>3353</v>
      </c>
      <c r="J42" t="s">
        <v>187</v>
      </c>
    </row>
    <row r="43" spans="1:10">
      <c r="D43" s="16">
        <v>1</v>
      </c>
      <c r="E43" s="63" t="s">
        <v>107</v>
      </c>
      <c r="G43" s="3">
        <v>37</v>
      </c>
      <c r="H43" s="3">
        <v>3354</v>
      </c>
      <c r="I43" s="3">
        <v>3355</v>
      </c>
      <c r="J43" t="s">
        <v>188</v>
      </c>
    </row>
    <row r="44" spans="1:10">
      <c r="D44" s="16">
        <v>1</v>
      </c>
      <c r="E44" s="63" t="s">
        <v>107</v>
      </c>
      <c r="G44" s="3">
        <v>38</v>
      </c>
      <c r="H44" s="3">
        <v>3359</v>
      </c>
      <c r="I44" s="3">
        <v>3358</v>
      </c>
      <c r="J44" t="s">
        <v>189</v>
      </c>
    </row>
    <row r="46" spans="1:10">
      <c r="A46" s="2" t="s">
        <v>149</v>
      </c>
      <c r="B46" s="16">
        <v>1</v>
      </c>
      <c r="E46" s="63" t="s">
        <v>320</v>
      </c>
      <c r="F46" s="2">
        <v>7</v>
      </c>
      <c r="G46" s="3">
        <v>39</v>
      </c>
      <c r="H46" s="3">
        <v>2699</v>
      </c>
      <c r="I46" s="3">
        <v>2707</v>
      </c>
      <c r="J46" t="s">
        <v>192</v>
      </c>
    </row>
    <row r="47" spans="1:10">
      <c r="C47" s="16">
        <v>1</v>
      </c>
      <c r="E47" s="63" t="s">
        <v>320</v>
      </c>
      <c r="G47" s="3">
        <v>40</v>
      </c>
      <c r="H47" s="3">
        <v>2858</v>
      </c>
      <c r="I47" s="3">
        <v>2735</v>
      </c>
      <c r="J47" t="s">
        <v>190</v>
      </c>
    </row>
    <row r="48" spans="1:10">
      <c r="C48" s="16">
        <v>1</v>
      </c>
      <c r="E48" s="63" t="s">
        <v>107</v>
      </c>
      <c r="G48" s="3">
        <v>41</v>
      </c>
      <c r="H48" s="3">
        <v>2713</v>
      </c>
      <c r="I48" s="3">
        <v>2708</v>
      </c>
      <c r="J48" t="s">
        <v>191</v>
      </c>
    </row>
    <row r="49" spans="2:10">
      <c r="D49" s="16">
        <v>1</v>
      </c>
      <c r="E49" s="63" t="s">
        <v>107</v>
      </c>
      <c r="G49" s="3">
        <v>42</v>
      </c>
      <c r="H49" s="3">
        <v>2706</v>
      </c>
      <c r="I49" s="3">
        <v>2709</v>
      </c>
      <c r="J49" t="s">
        <v>193</v>
      </c>
    </row>
    <row r="50" spans="2:10">
      <c r="B50" s="16">
        <v>1</v>
      </c>
      <c r="E50" s="63" t="s">
        <v>320</v>
      </c>
      <c r="G50" s="3">
        <v>43</v>
      </c>
      <c r="H50" s="3">
        <v>2700</v>
      </c>
      <c r="I50" s="3">
        <v>2710</v>
      </c>
      <c r="J50" t="s">
        <v>192</v>
      </c>
    </row>
    <row r="51" spans="2:10">
      <c r="C51" s="16">
        <v>1</v>
      </c>
      <c r="E51" s="63" t="s">
        <v>320</v>
      </c>
      <c r="G51" s="3">
        <v>44</v>
      </c>
      <c r="H51" s="3">
        <v>2861</v>
      </c>
      <c r="I51" s="3">
        <v>2736</v>
      </c>
      <c r="J51" t="s">
        <v>190</v>
      </c>
    </row>
    <row r="52" spans="2:10">
      <c r="C52" s="16">
        <v>1</v>
      </c>
      <c r="E52" s="63" t="s">
        <v>107</v>
      </c>
      <c r="G52" s="3">
        <v>45</v>
      </c>
      <c r="H52" s="3">
        <v>2717</v>
      </c>
      <c r="I52" s="3">
        <v>2712</v>
      </c>
      <c r="J52" t="s">
        <v>191</v>
      </c>
    </row>
    <row r="53" spans="2:10">
      <c r="D53" s="16">
        <v>1</v>
      </c>
      <c r="E53" s="63" t="s">
        <v>107</v>
      </c>
      <c r="G53" s="3">
        <v>46</v>
      </c>
      <c r="H53" s="3">
        <v>2718</v>
      </c>
      <c r="I53" s="3">
        <v>2714</v>
      </c>
      <c r="J53" t="s">
        <v>193</v>
      </c>
    </row>
    <row r="54" spans="2:10">
      <c r="B54" s="16">
        <v>1</v>
      </c>
      <c r="E54" s="63" t="s">
        <v>320</v>
      </c>
      <c r="G54" s="3">
        <v>47</v>
      </c>
      <c r="H54" s="3">
        <v>2701</v>
      </c>
      <c r="I54" s="3">
        <v>2715</v>
      </c>
      <c r="J54" t="s">
        <v>192</v>
      </c>
    </row>
    <row r="55" spans="2:10">
      <c r="C55" s="16">
        <v>1</v>
      </c>
      <c r="E55" s="63" t="s">
        <v>320</v>
      </c>
      <c r="G55" s="3">
        <v>48</v>
      </c>
      <c r="H55" s="3">
        <v>2862</v>
      </c>
      <c r="I55" s="3">
        <v>2737</v>
      </c>
      <c r="J55" t="s">
        <v>190</v>
      </c>
    </row>
    <row r="56" spans="2:10">
      <c r="C56" s="16">
        <v>1</v>
      </c>
      <c r="E56" s="63" t="s">
        <v>107</v>
      </c>
      <c r="G56" s="3">
        <v>49</v>
      </c>
      <c r="H56" s="3">
        <v>2722</v>
      </c>
      <c r="I56" s="3">
        <v>2719</v>
      </c>
      <c r="J56" t="s">
        <v>191</v>
      </c>
    </row>
    <row r="57" spans="2:10">
      <c r="D57" s="16">
        <v>1</v>
      </c>
      <c r="E57" s="63" t="s">
        <v>107</v>
      </c>
      <c r="G57" s="3">
        <v>50</v>
      </c>
      <c r="H57" s="3">
        <v>2724</v>
      </c>
      <c r="I57" s="3">
        <v>2716</v>
      </c>
      <c r="J57" t="s">
        <v>193</v>
      </c>
    </row>
    <row r="58" spans="2:10">
      <c r="B58" s="16">
        <v>1</v>
      </c>
      <c r="E58" s="63" t="s">
        <v>320</v>
      </c>
      <c r="G58" s="3">
        <v>51</v>
      </c>
      <c r="H58" s="3">
        <v>2702</v>
      </c>
      <c r="I58" s="3">
        <v>2720</v>
      </c>
      <c r="J58" t="s">
        <v>192</v>
      </c>
    </row>
    <row r="59" spans="2:10">
      <c r="C59" s="16">
        <v>1</v>
      </c>
      <c r="E59" s="63" t="s">
        <v>320</v>
      </c>
      <c r="G59" s="3">
        <v>52</v>
      </c>
      <c r="H59" s="3">
        <v>2863</v>
      </c>
      <c r="I59" s="3">
        <v>2738</v>
      </c>
      <c r="J59" t="s">
        <v>190</v>
      </c>
    </row>
    <row r="60" spans="2:10">
      <c r="C60" s="16">
        <v>1</v>
      </c>
      <c r="E60" s="63" t="s">
        <v>107</v>
      </c>
      <c r="G60" s="3">
        <v>53</v>
      </c>
      <c r="H60" s="3">
        <v>2727</v>
      </c>
      <c r="I60" s="3">
        <v>2721</v>
      </c>
      <c r="J60" t="s">
        <v>191</v>
      </c>
    </row>
    <row r="61" spans="2:10">
      <c r="D61" s="16">
        <v>1</v>
      </c>
      <c r="E61" s="63" t="s">
        <v>107</v>
      </c>
      <c r="G61" s="3">
        <v>54</v>
      </c>
      <c r="H61" s="3">
        <v>2728</v>
      </c>
      <c r="I61" s="3">
        <v>2723</v>
      </c>
      <c r="J61" t="s">
        <v>193</v>
      </c>
    </row>
    <row r="62" spans="2:10">
      <c r="B62" s="16">
        <v>1</v>
      </c>
      <c r="E62" s="63" t="s">
        <v>320</v>
      </c>
      <c r="G62" s="3">
        <v>55</v>
      </c>
      <c r="H62" s="3">
        <v>2703</v>
      </c>
      <c r="I62" s="3">
        <v>2725</v>
      </c>
      <c r="J62" t="s">
        <v>192</v>
      </c>
    </row>
    <row r="63" spans="2:10">
      <c r="C63" s="16">
        <v>1</v>
      </c>
      <c r="E63" s="63" t="s">
        <v>320</v>
      </c>
      <c r="G63" s="3">
        <v>56</v>
      </c>
      <c r="H63" s="3">
        <v>2860</v>
      </c>
      <c r="I63" s="3">
        <v>2739</v>
      </c>
      <c r="J63" t="s">
        <v>190</v>
      </c>
    </row>
    <row r="64" spans="2:10">
      <c r="C64" s="16">
        <v>1</v>
      </c>
      <c r="E64" s="63" t="s">
        <v>107</v>
      </c>
      <c r="G64" s="3">
        <v>57</v>
      </c>
      <c r="H64" s="3">
        <v>2734</v>
      </c>
      <c r="I64" s="3">
        <v>2726</v>
      </c>
      <c r="J64" t="s">
        <v>191</v>
      </c>
    </row>
    <row r="65" spans="1:10">
      <c r="D65" s="16">
        <v>1</v>
      </c>
      <c r="E65" s="63" t="s">
        <v>107</v>
      </c>
      <c r="G65" s="3">
        <v>58</v>
      </c>
      <c r="H65" s="3">
        <v>2731</v>
      </c>
      <c r="I65" s="3">
        <v>2729</v>
      </c>
      <c r="J65" t="s">
        <v>193</v>
      </c>
    </row>
    <row r="66" spans="1:10">
      <c r="B66" s="16">
        <v>1</v>
      </c>
      <c r="E66" s="63" t="s">
        <v>320</v>
      </c>
      <c r="G66" s="3">
        <v>59</v>
      </c>
      <c r="H66" s="3">
        <v>2698</v>
      </c>
      <c r="I66" s="3">
        <v>2730</v>
      </c>
      <c r="J66" t="s">
        <v>192</v>
      </c>
    </row>
    <row r="67" spans="1:10">
      <c r="C67" s="16">
        <v>1</v>
      </c>
      <c r="E67" s="63" t="s">
        <v>320</v>
      </c>
      <c r="G67" s="3">
        <v>60</v>
      </c>
      <c r="H67" s="3">
        <v>2859</v>
      </c>
      <c r="I67" s="3">
        <v>2740</v>
      </c>
      <c r="J67" t="s">
        <v>190</v>
      </c>
    </row>
    <row r="68" spans="1:10">
      <c r="C68" s="16">
        <v>1</v>
      </c>
      <c r="E68" s="63" t="s">
        <v>107</v>
      </c>
      <c r="G68" s="3">
        <v>61</v>
      </c>
      <c r="H68" s="3">
        <v>2705</v>
      </c>
      <c r="I68" s="3">
        <v>2733</v>
      </c>
      <c r="J68" t="s">
        <v>191</v>
      </c>
    </row>
    <row r="69" spans="1:10">
      <c r="D69" s="16">
        <v>1</v>
      </c>
      <c r="E69" s="63" t="s">
        <v>107</v>
      </c>
      <c r="G69" s="3">
        <v>62</v>
      </c>
      <c r="H69" s="3">
        <v>2711</v>
      </c>
      <c r="I69" s="3">
        <v>2732</v>
      </c>
      <c r="J69" t="s">
        <v>193</v>
      </c>
    </row>
    <row r="71" spans="1:10">
      <c r="A71" s="2" t="s">
        <v>151</v>
      </c>
      <c r="J71" t="s">
        <v>194</v>
      </c>
    </row>
    <row r="72" spans="1:10">
      <c r="J72" t="s">
        <v>103</v>
      </c>
    </row>
    <row r="73" spans="1:10">
      <c r="J73" t="s">
        <v>104</v>
      </c>
    </row>
    <row r="74" spans="1:10">
      <c r="J74" t="s">
        <v>105</v>
      </c>
    </row>
    <row r="75" spans="1:10">
      <c r="J75" t="s">
        <v>106</v>
      </c>
    </row>
    <row r="76" spans="1:10">
      <c r="J76" t="s">
        <v>195</v>
      </c>
    </row>
    <row r="77" spans="1:10">
      <c r="J77" t="s">
        <v>103</v>
      </c>
    </row>
    <row r="78" spans="1:10">
      <c r="J78" t="s">
        <v>104</v>
      </c>
    </row>
    <row r="79" spans="1:10">
      <c r="J79" t="s">
        <v>105</v>
      </c>
    </row>
    <row r="80" spans="1:10">
      <c r="J80" t="s">
        <v>106</v>
      </c>
    </row>
    <row r="93" spans="10:10">
      <c r="J93" t="s">
        <v>207</v>
      </c>
    </row>
    <row r="94" spans="10:10">
      <c r="J94" t="s">
        <v>103</v>
      </c>
    </row>
    <row r="95" spans="10:10">
      <c r="J95" t="s">
        <v>104</v>
      </c>
    </row>
    <row r="96" spans="10:10">
      <c r="J96" t="s">
        <v>105</v>
      </c>
    </row>
    <row r="97" spans="10:10">
      <c r="J97" t="s">
        <v>106</v>
      </c>
    </row>
    <row r="98" spans="10:10">
      <c r="J98" t="s">
        <v>208</v>
      </c>
    </row>
    <row r="99" spans="10:10">
      <c r="J99" t="s">
        <v>207</v>
      </c>
    </row>
    <row r="100" spans="10:10">
      <c r="J100" t="s">
        <v>103</v>
      </c>
    </row>
    <row r="101" spans="10:10">
      <c r="J101" t="s">
        <v>104</v>
      </c>
    </row>
    <row r="102" spans="10:10">
      <c r="J102" t="s">
        <v>105</v>
      </c>
    </row>
    <row r="103" spans="10:10">
      <c r="J103" t="s">
        <v>106</v>
      </c>
    </row>
    <row r="104" spans="10:10">
      <c r="J104" t="s">
        <v>208</v>
      </c>
    </row>
    <row r="105" spans="10:10">
      <c r="J105" t="s">
        <v>207</v>
      </c>
    </row>
    <row r="106" spans="10:10">
      <c r="J106" t="s">
        <v>103</v>
      </c>
    </row>
    <row r="107" spans="10:10">
      <c r="J107" t="s">
        <v>104</v>
      </c>
    </row>
    <row r="108" spans="10:10">
      <c r="J108" t="s">
        <v>105</v>
      </c>
    </row>
    <row r="109" spans="10:10">
      <c r="J109" t="s">
        <v>106</v>
      </c>
    </row>
    <row r="110" spans="10:10">
      <c r="J110" t="s">
        <v>208</v>
      </c>
    </row>
    <row r="111" spans="10:10">
      <c r="J111" t="s">
        <v>207</v>
      </c>
    </row>
    <row r="112" spans="10:10">
      <c r="J112" t="s">
        <v>103</v>
      </c>
    </row>
    <row r="113" spans="1:10">
      <c r="J113" t="s">
        <v>104</v>
      </c>
    </row>
    <row r="114" spans="1:10">
      <c r="J114" t="s">
        <v>105</v>
      </c>
    </row>
    <row r="115" spans="1:10">
      <c r="J115" t="s">
        <v>106</v>
      </c>
    </row>
    <row r="116" spans="1:10">
      <c r="J116" t="s">
        <v>208</v>
      </c>
    </row>
    <row r="117" spans="1:10">
      <c r="J117" t="s">
        <v>196</v>
      </c>
    </row>
    <row r="118" spans="1:10">
      <c r="J118" t="s">
        <v>103</v>
      </c>
    </row>
    <row r="119" spans="1:10">
      <c r="J119" t="s">
        <v>104</v>
      </c>
    </row>
    <row r="120" spans="1:10">
      <c r="J120" t="s">
        <v>105</v>
      </c>
    </row>
    <row r="121" spans="1:10">
      <c r="J121" t="s">
        <v>106</v>
      </c>
    </row>
    <row r="122" spans="1:10">
      <c r="J122" t="s">
        <v>197</v>
      </c>
    </row>
    <row r="123" spans="1:10">
      <c r="J123" t="s">
        <v>103</v>
      </c>
    </row>
    <row r="124" spans="1:10">
      <c r="A124" s="2" t="s">
        <v>201</v>
      </c>
      <c r="J124" t="s">
        <v>104</v>
      </c>
    </row>
    <row r="125" spans="1:10">
      <c r="J125" t="s">
        <v>105</v>
      </c>
    </row>
    <row r="126" spans="1:10">
      <c r="J126" t="s">
        <v>106</v>
      </c>
    </row>
    <row r="127" spans="1:10">
      <c r="J127" t="s">
        <v>198</v>
      </c>
    </row>
    <row r="128" spans="1:10">
      <c r="J128" t="s">
        <v>103</v>
      </c>
    </row>
    <row r="129" spans="10:10">
      <c r="J129" t="s">
        <v>104</v>
      </c>
    </row>
    <row r="130" spans="10:10">
      <c r="J130" t="s">
        <v>105</v>
      </c>
    </row>
    <row r="131" spans="10:10">
      <c r="J131" t="s">
        <v>106</v>
      </c>
    </row>
    <row r="132" spans="10:10">
      <c r="J132" t="s">
        <v>199</v>
      </c>
    </row>
    <row r="133" spans="10:10">
      <c r="J133" t="s">
        <v>103</v>
      </c>
    </row>
    <row r="134" spans="10:10">
      <c r="J134" t="s">
        <v>104</v>
      </c>
    </row>
    <row r="135" spans="10:10">
      <c r="J135" t="s">
        <v>105</v>
      </c>
    </row>
    <row r="136" spans="10:10">
      <c r="J136" t="s">
        <v>106</v>
      </c>
    </row>
    <row r="137" spans="10:10">
      <c r="J137" t="s">
        <v>200</v>
      </c>
    </row>
    <row r="138" spans="10:10">
      <c r="J138" t="s">
        <v>103</v>
      </c>
    </row>
    <row r="139" spans="10:10">
      <c r="J139" t="s">
        <v>104</v>
      </c>
    </row>
    <row r="140" spans="10:10">
      <c r="J140" t="s">
        <v>105</v>
      </c>
    </row>
    <row r="141" spans="10:10">
      <c r="J141" t="s">
        <v>106</v>
      </c>
    </row>
    <row r="180" spans="1:10">
      <c r="A180" s="2" t="s">
        <v>206</v>
      </c>
      <c r="B180" s="16">
        <v>1</v>
      </c>
      <c r="J180" t="s">
        <v>202</v>
      </c>
    </row>
    <row r="181" spans="1:10">
      <c r="J181" t="s">
        <v>203</v>
      </c>
    </row>
    <row r="182" spans="1:10">
      <c r="J182" t="s">
        <v>204</v>
      </c>
    </row>
    <row r="183" spans="1:10">
      <c r="J183" t="s">
        <v>205</v>
      </c>
    </row>
    <row r="184" spans="1:10">
      <c r="C184" s="16">
        <v>1</v>
      </c>
      <c r="J184" t="s">
        <v>190</v>
      </c>
    </row>
    <row r="185" spans="1:10">
      <c r="C185" s="16">
        <v>1</v>
      </c>
      <c r="J185" t="s">
        <v>191</v>
      </c>
    </row>
    <row r="186" spans="1:10">
      <c r="D186" s="16">
        <v>1</v>
      </c>
      <c r="J186" t="s">
        <v>193</v>
      </c>
    </row>
    <row r="188" spans="1:10">
      <c r="B188" s="16">
        <v>1</v>
      </c>
      <c r="J188" t="s">
        <v>202</v>
      </c>
    </row>
    <row r="189" spans="1:10">
      <c r="J189" t="s">
        <v>203</v>
      </c>
    </row>
    <row r="190" spans="1:10">
      <c r="J190" t="s">
        <v>204</v>
      </c>
    </row>
    <row r="191" spans="1:10">
      <c r="J191" t="s">
        <v>205</v>
      </c>
    </row>
    <row r="192" spans="1:10">
      <c r="C192" s="16">
        <v>1</v>
      </c>
      <c r="J192" t="s">
        <v>190</v>
      </c>
    </row>
    <row r="193" spans="2:10">
      <c r="C193" s="16">
        <v>1</v>
      </c>
      <c r="J193" t="s">
        <v>191</v>
      </c>
    </row>
    <row r="194" spans="2:10">
      <c r="D194" s="16">
        <v>1</v>
      </c>
      <c r="J194" t="s">
        <v>193</v>
      </c>
    </row>
    <row r="196" spans="2:10">
      <c r="B196" s="16">
        <v>1</v>
      </c>
      <c r="J196" t="s">
        <v>202</v>
      </c>
    </row>
    <row r="197" spans="2:10">
      <c r="J197" t="s">
        <v>203</v>
      </c>
    </row>
    <row r="198" spans="2:10">
      <c r="J198" t="s">
        <v>204</v>
      </c>
    </row>
    <row r="199" spans="2:10">
      <c r="J199" t="s">
        <v>205</v>
      </c>
    </row>
    <row r="200" spans="2:10">
      <c r="C200" s="16">
        <v>1</v>
      </c>
      <c r="J200" t="s">
        <v>190</v>
      </c>
    </row>
    <row r="201" spans="2:10">
      <c r="C201" s="16">
        <v>1</v>
      </c>
      <c r="J201" t="s">
        <v>191</v>
      </c>
    </row>
    <row r="202" spans="2:10">
      <c r="D202" s="16">
        <v>1</v>
      </c>
      <c r="J202" t="s">
        <v>193</v>
      </c>
    </row>
    <row r="204" spans="2:10">
      <c r="B204" s="16">
        <v>1</v>
      </c>
      <c r="J204" t="s">
        <v>202</v>
      </c>
    </row>
    <row r="205" spans="2:10">
      <c r="J205" t="s">
        <v>203</v>
      </c>
    </row>
    <row r="206" spans="2:10">
      <c r="J206" t="s">
        <v>204</v>
      </c>
    </row>
    <row r="207" spans="2:10">
      <c r="J207" t="s">
        <v>205</v>
      </c>
    </row>
    <row r="208" spans="2:10">
      <c r="C208" s="16">
        <v>1</v>
      </c>
      <c r="J208" t="s">
        <v>190</v>
      </c>
    </row>
    <row r="209" spans="2:10">
      <c r="C209" s="16">
        <v>1</v>
      </c>
      <c r="J209" t="s">
        <v>191</v>
      </c>
    </row>
    <row r="210" spans="2:10">
      <c r="D210" s="16">
        <v>1</v>
      </c>
      <c r="J210" t="s">
        <v>193</v>
      </c>
    </row>
    <row r="212" spans="2:10">
      <c r="B212" s="16">
        <v>1</v>
      </c>
      <c r="J212" t="s">
        <v>202</v>
      </c>
    </row>
    <row r="213" spans="2:10">
      <c r="J213" t="s">
        <v>203</v>
      </c>
    </row>
    <row r="214" spans="2:10">
      <c r="J214" t="s">
        <v>204</v>
      </c>
    </row>
    <row r="215" spans="2:10">
      <c r="J215" t="s">
        <v>205</v>
      </c>
    </row>
    <row r="216" spans="2:10">
      <c r="C216" s="16">
        <v>1</v>
      </c>
      <c r="J216" t="s">
        <v>190</v>
      </c>
    </row>
    <row r="217" spans="2:10">
      <c r="C217" s="16">
        <v>1</v>
      </c>
      <c r="J217" t="s">
        <v>191</v>
      </c>
    </row>
    <row r="218" spans="2:10">
      <c r="D218" s="16">
        <v>1</v>
      </c>
      <c r="J218" t="s">
        <v>193</v>
      </c>
    </row>
    <row r="220" spans="2:10">
      <c r="B220" s="16">
        <v>1</v>
      </c>
      <c r="J220" t="s">
        <v>202</v>
      </c>
    </row>
    <row r="221" spans="2:10">
      <c r="J221" t="s">
        <v>203</v>
      </c>
    </row>
    <row r="222" spans="2:10">
      <c r="J222" t="s">
        <v>204</v>
      </c>
    </row>
    <row r="223" spans="2:10">
      <c r="J223" t="s">
        <v>205</v>
      </c>
    </row>
    <row r="224" spans="2:10">
      <c r="C224" s="16">
        <v>1</v>
      </c>
      <c r="J224" t="s">
        <v>190</v>
      </c>
    </row>
    <row r="225" spans="3:10">
      <c r="C225" s="16">
        <v>1</v>
      </c>
      <c r="J225" t="s">
        <v>191</v>
      </c>
    </row>
    <row r="226" spans="3:10">
      <c r="D226" s="16">
        <v>1</v>
      </c>
      <c r="J226" t="s">
        <v>193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FEED-3985-4832-A069-BCEFCF8F2578}">
  <dimension ref="A1:BR59"/>
  <sheetViews>
    <sheetView topLeftCell="K1" workbookViewId="0">
      <selection activeCell="E37" sqref="E37"/>
    </sheetView>
  </sheetViews>
  <sheetFormatPr defaultRowHeight="14.5"/>
  <cols>
    <col min="1" max="1" width="5.1796875" bestFit="1" customWidth="1"/>
    <col min="2" max="2" width="20.90625" bestFit="1" customWidth="1"/>
    <col min="3" max="3" width="22.08984375" bestFit="1" customWidth="1"/>
    <col min="4" max="4" width="18" bestFit="1" customWidth="1"/>
    <col min="5" max="5" width="18.453125" bestFit="1" customWidth="1"/>
    <col min="6" max="6" width="16.08984375" bestFit="1" customWidth="1"/>
    <col min="7" max="7" width="20" bestFit="1" customWidth="1"/>
    <col min="8" max="8" width="21.1796875" bestFit="1" customWidth="1"/>
    <col min="9" max="9" width="16.6328125" bestFit="1" customWidth="1"/>
    <col min="10" max="10" width="17.453125" bestFit="1" customWidth="1"/>
    <col min="11" max="11" width="19.08984375" bestFit="1" customWidth="1"/>
    <col min="12" max="12" width="17.7265625" bestFit="1" customWidth="1"/>
    <col min="13" max="13" width="17.81640625" bestFit="1" customWidth="1"/>
    <col min="14" max="14" width="16.26953125" bestFit="1" customWidth="1"/>
    <col min="15" max="15" width="17.1796875" bestFit="1" customWidth="1"/>
    <col min="16" max="16" width="16.7265625" bestFit="1" customWidth="1"/>
    <col min="17" max="17" width="17.7265625" bestFit="1" customWidth="1"/>
    <col min="18" max="18" width="17.1796875" bestFit="1" customWidth="1"/>
    <col min="19" max="19" width="16.7265625" bestFit="1" customWidth="1"/>
    <col min="20" max="20" width="17.7265625" bestFit="1" customWidth="1"/>
  </cols>
  <sheetData>
    <row r="1" spans="1:70">
      <c r="A1" s="60" t="s">
        <v>782</v>
      </c>
      <c r="B1" s="60" t="s">
        <v>781</v>
      </c>
      <c r="C1" s="60" t="s">
        <v>673</v>
      </c>
      <c r="D1" s="60" t="s">
        <v>339</v>
      </c>
      <c r="E1" s="60" t="s">
        <v>340</v>
      </c>
      <c r="F1" s="60" t="s">
        <v>341</v>
      </c>
      <c r="G1" s="60" t="s">
        <v>342</v>
      </c>
      <c r="H1" s="60" t="s">
        <v>343</v>
      </c>
      <c r="I1" s="60" t="s">
        <v>344</v>
      </c>
      <c r="J1" s="60" t="s">
        <v>363</v>
      </c>
      <c r="K1" s="60" t="s">
        <v>364</v>
      </c>
      <c r="L1" s="60" t="s">
        <v>674</v>
      </c>
      <c r="M1" s="60" t="s">
        <v>675</v>
      </c>
      <c r="N1" s="60" t="s">
        <v>676</v>
      </c>
      <c r="O1" s="60" t="s">
        <v>677</v>
      </c>
      <c r="P1" s="60" t="s">
        <v>678</v>
      </c>
    </row>
    <row r="2" spans="1:70">
      <c r="A2" s="3" t="s">
        <v>86</v>
      </c>
      <c r="B2" s="3" t="s">
        <v>69</v>
      </c>
      <c r="C2" s="2" t="s">
        <v>246</v>
      </c>
      <c r="D2" s="3" t="s">
        <v>368</v>
      </c>
      <c r="E2" s="3" t="s">
        <v>369</v>
      </c>
      <c r="F2" s="3" t="s">
        <v>365</v>
      </c>
      <c r="G2" s="3" t="s">
        <v>366</v>
      </c>
      <c r="H2" s="3" t="s">
        <v>346</v>
      </c>
      <c r="I2" s="3" t="s">
        <v>248</v>
      </c>
      <c r="J2" s="3" t="s">
        <v>247</v>
      </c>
      <c r="K2" s="3" t="s">
        <v>250</v>
      </c>
      <c r="L2" s="3" t="s">
        <v>370</v>
      </c>
      <c r="M2" s="3" t="s">
        <v>59</v>
      </c>
      <c r="N2" s="3" t="s">
        <v>367</v>
      </c>
      <c r="O2" s="3" t="s">
        <v>60</v>
      </c>
      <c r="P2" s="3" t="s">
        <v>371</v>
      </c>
      <c r="Q2" s="3" t="s">
        <v>372</v>
      </c>
      <c r="R2" s="3" t="s">
        <v>366</v>
      </c>
      <c r="S2" s="3" t="s">
        <v>246</v>
      </c>
      <c r="T2" s="3" t="s">
        <v>247</v>
      </c>
      <c r="U2" s="3" t="s">
        <v>346</v>
      </c>
      <c r="V2" s="3" t="s">
        <v>250</v>
      </c>
      <c r="W2" s="3" t="s">
        <v>370</v>
      </c>
      <c r="X2" s="3" t="s">
        <v>59</v>
      </c>
      <c r="Y2" s="3" t="s">
        <v>367</v>
      </c>
      <c r="Z2" s="3" t="s">
        <v>60</v>
      </c>
      <c r="AA2" s="3" t="s">
        <v>371</v>
      </c>
      <c r="AB2" s="3" t="s">
        <v>372</v>
      </c>
      <c r="AC2" t="s">
        <v>246</v>
      </c>
      <c r="AD2" t="s">
        <v>69</v>
      </c>
      <c r="AE2" t="s">
        <v>247</v>
      </c>
      <c r="AF2" t="s">
        <v>365</v>
      </c>
      <c r="AG2" t="s">
        <v>366</v>
      </c>
      <c r="AH2" t="s">
        <v>248</v>
      </c>
      <c r="AI2" t="s">
        <v>346</v>
      </c>
      <c r="AJ2" t="s">
        <v>59</v>
      </c>
      <c r="AK2" t="s">
        <v>367</v>
      </c>
      <c r="AL2" t="s">
        <v>60</v>
      </c>
      <c r="AM2" t="s">
        <v>368</v>
      </c>
      <c r="AN2" t="s">
        <v>250</v>
      </c>
      <c r="AO2" t="s">
        <v>369</v>
      </c>
      <c r="AP2" t="s">
        <v>370</v>
      </c>
      <c r="AQ2" t="s">
        <v>371</v>
      </c>
      <c r="AR2" t="s">
        <v>372</v>
      </c>
      <c r="AS2" t="s">
        <v>246</v>
      </c>
      <c r="AT2" t="s">
        <v>368</v>
      </c>
      <c r="AU2" t="s">
        <v>369</v>
      </c>
      <c r="AV2" t="s">
        <v>365</v>
      </c>
      <c r="AW2" t="s">
        <v>366</v>
      </c>
      <c r="AX2" t="s">
        <v>346</v>
      </c>
      <c r="AY2" t="s">
        <v>248</v>
      </c>
      <c r="AZ2" t="s">
        <v>247</v>
      </c>
      <c r="BA2" t="s">
        <v>250</v>
      </c>
      <c r="BB2" t="s">
        <v>370</v>
      </c>
      <c r="BC2" t="s">
        <v>59</v>
      </c>
      <c r="BD2" t="s">
        <v>367</v>
      </c>
      <c r="BE2" t="s">
        <v>60</v>
      </c>
      <c r="BF2" t="s">
        <v>371</v>
      </c>
      <c r="BG2" t="s">
        <v>372</v>
      </c>
      <c r="BH2" t="s">
        <v>52</v>
      </c>
      <c r="BI2" t="s">
        <v>246</v>
      </c>
      <c r="BJ2" t="s">
        <v>248</v>
      </c>
      <c r="BK2" t="s">
        <v>247</v>
      </c>
      <c r="BL2" t="s">
        <v>250</v>
      </c>
      <c r="BM2" t="s">
        <v>371</v>
      </c>
      <c r="BN2" t="s">
        <v>370</v>
      </c>
      <c r="BO2" t="s">
        <v>272</v>
      </c>
    </row>
    <row r="3" spans="1:70">
      <c r="A3" s="3" t="s">
        <v>86</v>
      </c>
      <c r="B3" s="3" t="s">
        <v>664</v>
      </c>
      <c r="C3" s="2" t="s">
        <v>59</v>
      </c>
      <c r="D3" s="3" t="s">
        <v>60</v>
      </c>
      <c r="E3" s="3" t="s">
        <v>671</v>
      </c>
      <c r="F3" s="3" t="s">
        <v>276</v>
      </c>
      <c r="G3" s="3" t="s">
        <v>275</v>
      </c>
      <c r="H3" s="3" t="s">
        <v>277</v>
      </c>
      <c r="I3" s="3" t="s">
        <v>366</v>
      </c>
      <c r="J3" s="3" t="s">
        <v>665</v>
      </c>
      <c r="K3" s="3" t="s">
        <v>274</v>
      </c>
      <c r="L3" s="3" t="s">
        <v>666</v>
      </c>
      <c r="M3" s="3" t="s">
        <v>667</v>
      </c>
      <c r="N3" s="3" t="s">
        <v>668</v>
      </c>
      <c r="O3" s="3" t="s">
        <v>588</v>
      </c>
      <c r="P3" s="3" t="s">
        <v>669</v>
      </c>
      <c r="Q3" s="3" t="s">
        <v>670</v>
      </c>
      <c r="R3" s="3" t="s">
        <v>253</v>
      </c>
      <c r="S3" s="3" t="s">
        <v>375</v>
      </c>
      <c r="T3" s="3" t="s">
        <v>386</v>
      </c>
      <c r="U3" s="3" t="s">
        <v>376</v>
      </c>
      <c r="V3" s="3" t="s">
        <v>385</v>
      </c>
      <c r="W3" s="3" t="s">
        <v>380</v>
      </c>
      <c r="X3" s="3" t="s">
        <v>383</v>
      </c>
      <c r="Y3" s="3" t="s">
        <v>377</v>
      </c>
      <c r="Z3" s="3" t="s">
        <v>382</v>
      </c>
      <c r="AA3" s="3" t="s">
        <v>381</v>
      </c>
      <c r="AB3" s="3" t="s">
        <v>384</v>
      </c>
      <c r="AC3" s="3" t="s">
        <v>378</v>
      </c>
      <c r="AD3" s="3" t="s">
        <v>379</v>
      </c>
      <c r="AE3" t="s">
        <v>53</v>
      </c>
      <c r="AF3" t="s">
        <v>373</v>
      </c>
      <c r="AG3" t="s">
        <v>253</v>
      </c>
      <c r="AH3" t="s">
        <v>374</v>
      </c>
      <c r="AI3" t="s">
        <v>375</v>
      </c>
      <c r="AJ3" t="s">
        <v>376</v>
      </c>
      <c r="AK3" t="s">
        <v>377</v>
      </c>
      <c r="AL3" t="s">
        <v>378</v>
      </c>
      <c r="AM3" t="s">
        <v>379</v>
      </c>
      <c r="AN3" t="s">
        <v>380</v>
      </c>
      <c r="AO3" t="s">
        <v>381</v>
      </c>
      <c r="AP3" t="s">
        <v>382</v>
      </c>
      <c r="AQ3" t="s">
        <v>383</v>
      </c>
      <c r="AR3" t="s">
        <v>384</v>
      </c>
      <c r="AS3" t="s">
        <v>385</v>
      </c>
      <c r="AT3" t="s">
        <v>386</v>
      </c>
      <c r="AU3" t="s">
        <v>53</v>
      </c>
      <c r="AV3" t="s">
        <v>374</v>
      </c>
      <c r="AW3" t="s">
        <v>253</v>
      </c>
      <c r="AX3" t="s">
        <v>375</v>
      </c>
      <c r="AY3" t="s">
        <v>386</v>
      </c>
      <c r="AZ3" t="s">
        <v>376</v>
      </c>
      <c r="BA3" t="s">
        <v>385</v>
      </c>
      <c r="BB3" t="s">
        <v>380</v>
      </c>
      <c r="BC3" t="s">
        <v>383</v>
      </c>
      <c r="BD3" t="s">
        <v>377</v>
      </c>
      <c r="BE3" t="s">
        <v>382</v>
      </c>
      <c r="BF3" t="s">
        <v>381</v>
      </c>
      <c r="BG3" t="s">
        <v>384</v>
      </c>
      <c r="BH3" t="s">
        <v>378</v>
      </c>
      <c r="BI3" t="s">
        <v>379</v>
      </c>
      <c r="BJ3" t="s">
        <v>679</v>
      </c>
      <c r="BK3" t="s">
        <v>253</v>
      </c>
      <c r="BL3" t="s">
        <v>254</v>
      </c>
      <c r="BM3" t="s">
        <v>688</v>
      </c>
      <c r="BN3" t="s">
        <v>689</v>
      </c>
      <c r="BO3" t="s">
        <v>690</v>
      </c>
      <c r="BP3" t="s">
        <v>379</v>
      </c>
      <c r="BQ3" t="s">
        <v>691</v>
      </c>
    </row>
    <row r="4" spans="1:70">
      <c r="A4" s="3" t="s">
        <v>86</v>
      </c>
      <c r="B4" s="3" t="s">
        <v>501</v>
      </c>
      <c r="C4" s="2" t="s">
        <v>61</v>
      </c>
      <c r="D4" s="3" t="s">
        <v>304</v>
      </c>
      <c r="E4" s="3" t="s">
        <v>302</v>
      </c>
      <c r="F4" s="3" t="s">
        <v>502</v>
      </c>
      <c r="G4" s="3" t="s">
        <v>503</v>
      </c>
      <c r="H4" s="3" t="s">
        <v>504</v>
      </c>
      <c r="I4" s="3" t="s">
        <v>505</v>
      </c>
      <c r="J4" s="3" t="s">
        <v>506</v>
      </c>
      <c r="K4" s="3" t="s">
        <v>507</v>
      </c>
      <c r="L4" s="3" t="s">
        <v>508</v>
      </c>
      <c r="M4" s="3" t="s">
        <v>509</v>
      </c>
      <c r="N4" s="3" t="s">
        <v>510</v>
      </c>
      <c r="O4" s="3" t="s">
        <v>511</v>
      </c>
      <c r="P4" s="3" t="s">
        <v>512</v>
      </c>
      <c r="Q4" s="3" t="s">
        <v>513</v>
      </c>
      <c r="R4" s="3" t="s">
        <v>389</v>
      </c>
      <c r="S4" s="3" t="s">
        <v>683</v>
      </c>
      <c r="T4" s="3" t="s">
        <v>391</v>
      </c>
      <c r="U4" s="3" t="s">
        <v>393</v>
      </c>
      <c r="V4" s="3" t="s">
        <v>395</v>
      </c>
      <c r="W4" s="3" t="s">
        <v>390</v>
      </c>
      <c r="X4" s="3" t="s">
        <v>388</v>
      </c>
      <c r="Y4" s="3" t="s">
        <v>392</v>
      </c>
      <c r="Z4" s="3" t="s">
        <v>396</v>
      </c>
      <c r="AA4" s="3" t="s">
        <v>400</v>
      </c>
      <c r="AB4" s="3" t="s">
        <v>399</v>
      </c>
      <c r="AC4" s="3" t="s">
        <v>397</v>
      </c>
      <c r="AD4" s="3" t="s">
        <v>401</v>
      </c>
      <c r="AE4" s="3" t="s">
        <v>398</v>
      </c>
      <c r="AF4" t="s">
        <v>348</v>
      </c>
      <c r="AG4" t="s">
        <v>387</v>
      </c>
      <c r="AH4" t="s">
        <v>388</v>
      </c>
      <c r="AI4" t="s">
        <v>389</v>
      </c>
      <c r="AJ4" t="s">
        <v>390</v>
      </c>
      <c r="AK4" t="s">
        <v>391</v>
      </c>
      <c r="AL4" t="s">
        <v>392</v>
      </c>
      <c r="AM4" t="s">
        <v>393</v>
      </c>
      <c r="AN4" t="s">
        <v>394</v>
      </c>
      <c r="AO4" t="s">
        <v>395</v>
      </c>
      <c r="AP4" t="s">
        <v>396</v>
      </c>
      <c r="AQ4" t="s">
        <v>397</v>
      </c>
      <c r="AR4" t="s">
        <v>398</v>
      </c>
      <c r="AS4" t="s">
        <v>399</v>
      </c>
      <c r="AT4" t="s">
        <v>400</v>
      </c>
      <c r="AU4" t="s">
        <v>401</v>
      </c>
      <c r="AV4" t="s">
        <v>348</v>
      </c>
      <c r="AW4" t="s">
        <v>389</v>
      </c>
      <c r="AX4" t="s">
        <v>394</v>
      </c>
      <c r="AY4" t="s">
        <v>391</v>
      </c>
      <c r="AZ4" t="s">
        <v>393</v>
      </c>
      <c r="BA4" t="s">
        <v>395</v>
      </c>
      <c r="BB4" t="s">
        <v>390</v>
      </c>
      <c r="BC4" t="s">
        <v>388</v>
      </c>
      <c r="BD4" t="s">
        <v>392</v>
      </c>
      <c r="BE4" t="s">
        <v>396</v>
      </c>
      <c r="BF4" t="s">
        <v>400</v>
      </c>
      <c r="BG4" t="s">
        <v>399</v>
      </c>
      <c r="BH4" t="s">
        <v>397</v>
      </c>
      <c r="BI4" t="s">
        <v>401</v>
      </c>
      <c r="BJ4" t="s">
        <v>398</v>
      </c>
      <c r="BK4" t="s">
        <v>348</v>
      </c>
      <c r="BL4" t="s">
        <v>257</v>
      </c>
      <c r="BM4" t="s">
        <v>692</v>
      </c>
      <c r="BN4" t="s">
        <v>256</v>
      </c>
      <c r="BO4" t="s">
        <v>693</v>
      </c>
      <c r="BP4" t="s">
        <v>694</v>
      </c>
      <c r="BQ4" t="s">
        <v>695</v>
      </c>
      <c r="BR4" t="s">
        <v>696</v>
      </c>
    </row>
    <row r="5" spans="1:70">
      <c r="A5" s="3" t="s">
        <v>86</v>
      </c>
      <c r="B5" s="3" t="s">
        <v>580</v>
      </c>
      <c r="C5" s="2" t="s">
        <v>60</v>
      </c>
      <c r="D5" s="3" t="s">
        <v>59</v>
      </c>
      <c r="E5" s="3" t="s">
        <v>366</v>
      </c>
      <c r="F5" s="3" t="s">
        <v>273</v>
      </c>
      <c r="G5" s="3" t="s">
        <v>581</v>
      </c>
      <c r="H5" s="3" t="s">
        <v>274</v>
      </c>
      <c r="I5" s="3" t="s">
        <v>582</v>
      </c>
      <c r="J5" s="3" t="s">
        <v>583</v>
      </c>
      <c r="K5" s="3" t="s">
        <v>584</v>
      </c>
      <c r="L5" s="3" t="s">
        <v>585</v>
      </c>
      <c r="M5" s="3" t="s">
        <v>586</v>
      </c>
      <c r="N5" s="3" t="s">
        <v>587</v>
      </c>
      <c r="O5" s="3" t="s">
        <v>588</v>
      </c>
      <c r="P5" s="3" t="s">
        <v>589</v>
      </c>
      <c r="Q5" s="3" t="s">
        <v>590</v>
      </c>
      <c r="R5" s="3" t="s">
        <v>258</v>
      </c>
      <c r="S5" s="3" t="s">
        <v>404</v>
      </c>
      <c r="T5" s="3" t="s">
        <v>260</v>
      </c>
      <c r="U5" s="3" t="s">
        <v>406</v>
      </c>
      <c r="V5" s="3" t="s">
        <v>405</v>
      </c>
      <c r="W5" s="3" t="s">
        <v>408</v>
      </c>
      <c r="X5" s="3" t="s">
        <v>407</v>
      </c>
      <c r="Y5" s="3" t="s">
        <v>409</v>
      </c>
      <c r="Z5" s="3" t="s">
        <v>410</v>
      </c>
      <c r="AA5" s="3" t="s">
        <v>411</v>
      </c>
      <c r="AB5" s="3" t="s">
        <v>412</v>
      </c>
      <c r="AC5" s="3" t="s">
        <v>413</v>
      </c>
      <c r="AD5" s="3" t="s">
        <v>414</v>
      </c>
      <c r="AE5" s="3" t="s">
        <v>415</v>
      </c>
      <c r="AF5" t="s">
        <v>402</v>
      </c>
      <c r="AG5" t="s">
        <v>403</v>
      </c>
      <c r="AH5" t="s">
        <v>404</v>
      </c>
      <c r="AI5" t="s">
        <v>260</v>
      </c>
      <c r="AJ5" t="s">
        <v>258</v>
      </c>
      <c r="AK5" t="s">
        <v>405</v>
      </c>
      <c r="AL5" t="s">
        <v>406</v>
      </c>
      <c r="AM5" t="s">
        <v>407</v>
      </c>
      <c r="AN5" t="s">
        <v>408</v>
      </c>
      <c r="AO5" t="s">
        <v>409</v>
      </c>
      <c r="AP5" t="s">
        <v>410</v>
      </c>
      <c r="AQ5" t="s">
        <v>411</v>
      </c>
      <c r="AR5" t="s">
        <v>412</v>
      </c>
      <c r="AS5" t="s">
        <v>413</v>
      </c>
      <c r="AT5" t="s">
        <v>414</v>
      </c>
      <c r="AU5" t="s">
        <v>415</v>
      </c>
      <c r="AV5" t="s">
        <v>402</v>
      </c>
      <c r="AW5" t="s">
        <v>258</v>
      </c>
      <c r="AX5" t="s">
        <v>404</v>
      </c>
      <c r="AY5" t="s">
        <v>260</v>
      </c>
      <c r="AZ5" t="s">
        <v>406</v>
      </c>
      <c r="BA5" t="s">
        <v>405</v>
      </c>
      <c r="BB5" t="s">
        <v>408</v>
      </c>
      <c r="BC5" t="s">
        <v>407</v>
      </c>
      <c r="BD5" t="s">
        <v>409</v>
      </c>
      <c r="BE5" t="s">
        <v>410</v>
      </c>
      <c r="BF5" t="s">
        <v>411</v>
      </c>
      <c r="BG5" t="s">
        <v>412</v>
      </c>
      <c r="BH5" t="s">
        <v>413</v>
      </c>
      <c r="BI5" t="s">
        <v>414</v>
      </c>
      <c r="BJ5" t="s">
        <v>415</v>
      </c>
      <c r="BK5" t="s">
        <v>402</v>
      </c>
      <c r="BL5" t="s">
        <v>697</v>
      </c>
      <c r="BM5" t="s">
        <v>698</v>
      </c>
      <c r="BN5" t="s">
        <v>699</v>
      </c>
      <c r="BO5" t="s">
        <v>700</v>
      </c>
      <c r="BP5" t="s">
        <v>701</v>
      </c>
      <c r="BQ5" t="s">
        <v>702</v>
      </c>
      <c r="BR5" t="s">
        <v>703</v>
      </c>
    </row>
    <row r="6" spans="1:70">
      <c r="A6" s="3" t="s">
        <v>87</v>
      </c>
      <c r="B6" s="3" t="s">
        <v>373</v>
      </c>
      <c r="C6" s="2" t="s">
        <v>53</v>
      </c>
      <c r="D6" s="3" t="s">
        <v>374</v>
      </c>
      <c r="E6" s="3" t="s">
        <v>253</v>
      </c>
      <c r="F6" s="3" t="s">
        <v>375</v>
      </c>
      <c r="G6" s="3" t="s">
        <v>386</v>
      </c>
      <c r="H6" s="3" t="s">
        <v>376</v>
      </c>
      <c r="I6" s="3" t="s">
        <v>385</v>
      </c>
      <c r="J6" s="3" t="s">
        <v>380</v>
      </c>
      <c r="K6" s="3" t="s">
        <v>383</v>
      </c>
      <c r="L6" s="3" t="s">
        <v>377</v>
      </c>
      <c r="M6" s="3" t="s">
        <v>382</v>
      </c>
      <c r="N6" s="3" t="s">
        <v>381</v>
      </c>
      <c r="O6" s="3" t="s">
        <v>384</v>
      </c>
      <c r="P6" s="3" t="s">
        <v>378</v>
      </c>
      <c r="Q6" s="3" t="s">
        <v>379</v>
      </c>
      <c r="R6" s="3" t="s">
        <v>263</v>
      </c>
      <c r="S6" s="3" t="s">
        <v>265</v>
      </c>
      <c r="T6" s="3" t="s">
        <v>417</v>
      </c>
      <c r="U6" s="3" t="s">
        <v>418</v>
      </c>
      <c r="V6" s="3" t="s">
        <v>420</v>
      </c>
      <c r="W6" s="3" t="s">
        <v>421</v>
      </c>
      <c r="X6" s="3" t="s">
        <v>268</v>
      </c>
      <c r="Y6" s="3" t="s">
        <v>419</v>
      </c>
      <c r="Z6" s="3" t="s">
        <v>422</v>
      </c>
      <c r="AA6" s="3" t="s">
        <v>423</v>
      </c>
      <c r="AB6" s="3" t="s">
        <v>425</v>
      </c>
      <c r="AC6" s="3" t="s">
        <v>424</v>
      </c>
      <c r="AD6" s="3" t="s">
        <v>426</v>
      </c>
      <c r="AE6" t="s">
        <v>74</v>
      </c>
      <c r="AF6" t="s">
        <v>416</v>
      </c>
      <c r="AG6" t="s">
        <v>263</v>
      </c>
      <c r="AH6" t="s">
        <v>264</v>
      </c>
      <c r="AI6" t="s">
        <v>265</v>
      </c>
      <c r="AJ6" t="s">
        <v>417</v>
      </c>
      <c r="AK6" t="s">
        <v>418</v>
      </c>
      <c r="AL6" t="s">
        <v>268</v>
      </c>
      <c r="AM6" t="s">
        <v>419</v>
      </c>
      <c r="AN6" t="s">
        <v>420</v>
      </c>
      <c r="AO6" t="s">
        <v>421</v>
      </c>
      <c r="AP6" t="s">
        <v>422</v>
      </c>
      <c r="AQ6" t="s">
        <v>423</v>
      </c>
      <c r="AR6" t="s">
        <v>424</v>
      </c>
      <c r="AS6" t="s">
        <v>425</v>
      </c>
      <c r="AT6" t="s">
        <v>426</v>
      </c>
      <c r="AU6" t="s">
        <v>74</v>
      </c>
      <c r="AV6" t="s">
        <v>263</v>
      </c>
      <c r="AW6" t="s">
        <v>264</v>
      </c>
      <c r="AX6" t="s">
        <v>265</v>
      </c>
      <c r="AY6" t="s">
        <v>418</v>
      </c>
      <c r="AZ6" t="s">
        <v>417</v>
      </c>
      <c r="BA6" t="s">
        <v>420</v>
      </c>
      <c r="BB6" t="s">
        <v>421</v>
      </c>
      <c r="BC6" t="s">
        <v>268</v>
      </c>
      <c r="BD6" t="s">
        <v>419</v>
      </c>
      <c r="BE6" t="s">
        <v>422</v>
      </c>
      <c r="BF6" t="s">
        <v>423</v>
      </c>
      <c r="BG6" t="s">
        <v>425</v>
      </c>
      <c r="BH6" t="s">
        <v>424</v>
      </c>
      <c r="BI6" t="s">
        <v>426</v>
      </c>
      <c r="BJ6" t="s">
        <v>74</v>
      </c>
      <c r="BK6" t="s">
        <v>263</v>
      </c>
      <c r="BL6" t="s">
        <v>264</v>
      </c>
      <c r="BM6" t="s">
        <v>265</v>
      </c>
      <c r="BN6" t="s">
        <v>267</v>
      </c>
      <c r="BO6" t="s">
        <v>268</v>
      </c>
      <c r="BP6" t="s">
        <v>266</v>
      </c>
      <c r="BQ6" t="s">
        <v>704</v>
      </c>
    </row>
    <row r="7" spans="1:70">
      <c r="A7" s="3" t="s">
        <v>87</v>
      </c>
      <c r="B7" s="3" t="s">
        <v>442</v>
      </c>
      <c r="C7" s="2" t="s">
        <v>350</v>
      </c>
      <c r="D7" s="3" t="s">
        <v>450</v>
      </c>
      <c r="E7" s="3" t="s">
        <v>57</v>
      </c>
      <c r="F7" s="3" t="s">
        <v>278</v>
      </c>
      <c r="G7" s="3" t="s">
        <v>443</v>
      </c>
      <c r="H7" s="3" t="s">
        <v>279</v>
      </c>
      <c r="I7" s="3" t="s">
        <v>444</v>
      </c>
      <c r="J7" s="3" t="s">
        <v>445</v>
      </c>
      <c r="K7" s="3" t="s">
        <v>446</v>
      </c>
      <c r="L7" s="3" t="s">
        <v>447</v>
      </c>
      <c r="M7" s="3" t="s">
        <v>448</v>
      </c>
      <c r="N7" s="3" t="s">
        <v>449</v>
      </c>
      <c r="O7" s="3" t="s">
        <v>451</v>
      </c>
      <c r="P7" s="3" t="s">
        <v>378</v>
      </c>
      <c r="Q7" s="3" t="s">
        <v>452</v>
      </c>
      <c r="R7" s="3" t="s">
        <v>428</v>
      </c>
      <c r="S7" s="3" t="s">
        <v>433</v>
      </c>
      <c r="T7" s="3" t="s">
        <v>430</v>
      </c>
      <c r="U7" s="3" t="s">
        <v>437</v>
      </c>
      <c r="V7" s="3" t="s">
        <v>441</v>
      </c>
      <c r="W7" s="3" t="s">
        <v>429</v>
      </c>
      <c r="X7" s="3" t="s">
        <v>432</v>
      </c>
      <c r="Y7" s="3" t="s">
        <v>434</v>
      </c>
      <c r="Z7" s="3" t="s">
        <v>435</v>
      </c>
      <c r="AA7" s="3" t="s">
        <v>436</v>
      </c>
      <c r="AB7" s="3" t="s">
        <v>439</v>
      </c>
      <c r="AC7" s="3" t="s">
        <v>440</v>
      </c>
      <c r="AD7" s="3" t="s">
        <v>431</v>
      </c>
      <c r="AE7" s="3" t="s">
        <v>438</v>
      </c>
      <c r="AF7" t="s">
        <v>58</v>
      </c>
      <c r="AG7" t="s">
        <v>427</v>
      </c>
      <c r="AH7" t="s">
        <v>428</v>
      </c>
      <c r="AI7" t="s">
        <v>429</v>
      </c>
      <c r="AJ7" t="s">
        <v>430</v>
      </c>
      <c r="AK7" t="s">
        <v>431</v>
      </c>
      <c r="AL7" t="s">
        <v>432</v>
      </c>
      <c r="AM7" t="s">
        <v>433</v>
      </c>
      <c r="AN7" t="s">
        <v>434</v>
      </c>
      <c r="AO7" t="s">
        <v>435</v>
      </c>
      <c r="AP7" t="s">
        <v>436</v>
      </c>
      <c r="AQ7" t="s">
        <v>437</v>
      </c>
      <c r="AR7" t="s">
        <v>438</v>
      </c>
      <c r="AS7" t="s">
        <v>439</v>
      </c>
      <c r="AT7" t="s">
        <v>440</v>
      </c>
      <c r="AU7" t="s">
        <v>441</v>
      </c>
      <c r="AV7" t="s">
        <v>58</v>
      </c>
      <c r="AW7" t="s">
        <v>428</v>
      </c>
      <c r="AX7" t="s">
        <v>437</v>
      </c>
      <c r="AY7" t="s">
        <v>441</v>
      </c>
      <c r="AZ7" t="s">
        <v>429</v>
      </c>
      <c r="BA7" t="s">
        <v>432</v>
      </c>
      <c r="BB7" t="s">
        <v>433</v>
      </c>
      <c r="BC7" t="s">
        <v>434</v>
      </c>
      <c r="BD7" t="s">
        <v>435</v>
      </c>
      <c r="BE7" t="s">
        <v>436</v>
      </c>
      <c r="BF7" t="s">
        <v>430</v>
      </c>
      <c r="BG7" t="s">
        <v>439</v>
      </c>
      <c r="BH7" t="s">
        <v>440</v>
      </c>
      <c r="BI7" t="s">
        <v>431</v>
      </c>
      <c r="BJ7" t="s">
        <v>438</v>
      </c>
      <c r="BK7" t="s">
        <v>58</v>
      </c>
      <c r="BL7" t="s">
        <v>685</v>
      </c>
      <c r="BM7" t="s">
        <v>269</v>
      </c>
      <c r="BN7" t="s">
        <v>271</v>
      </c>
      <c r="BO7" t="s">
        <v>705</v>
      </c>
      <c r="BP7" t="s">
        <v>706</v>
      </c>
      <c r="BQ7" t="s">
        <v>707</v>
      </c>
      <c r="BR7" t="s">
        <v>708</v>
      </c>
    </row>
    <row r="8" spans="1:70">
      <c r="A8" s="3" t="s">
        <v>87</v>
      </c>
      <c r="B8" s="3" t="s">
        <v>55</v>
      </c>
      <c r="C8" s="2" t="s">
        <v>361</v>
      </c>
      <c r="D8" s="3" t="s">
        <v>514</v>
      </c>
      <c r="E8" s="3" t="s">
        <v>515</v>
      </c>
      <c r="F8" s="3" t="s">
        <v>516</v>
      </c>
      <c r="G8" s="3" t="s">
        <v>517</v>
      </c>
      <c r="H8" s="3" t="s">
        <v>518</v>
      </c>
      <c r="I8" s="3" t="s">
        <v>519</v>
      </c>
      <c r="J8" s="3" t="s">
        <v>520</v>
      </c>
      <c r="K8" s="3" t="s">
        <v>521</v>
      </c>
      <c r="L8" s="3" t="s">
        <v>522</v>
      </c>
      <c r="M8" s="3" t="s">
        <v>523</v>
      </c>
      <c r="N8" s="3" t="s">
        <v>305</v>
      </c>
      <c r="O8" s="3" t="s">
        <v>524</v>
      </c>
      <c r="P8" s="3" t="s">
        <v>525</v>
      </c>
      <c r="Q8" s="3" t="s">
        <v>526</v>
      </c>
      <c r="R8" s="3" t="s">
        <v>670</v>
      </c>
      <c r="S8" s="3" t="s">
        <v>275</v>
      </c>
      <c r="T8" s="3" t="s">
        <v>366</v>
      </c>
      <c r="U8" s="3" t="s">
        <v>671</v>
      </c>
      <c r="V8" s="3" t="s">
        <v>276</v>
      </c>
      <c r="W8" s="3" t="s">
        <v>277</v>
      </c>
      <c r="X8" s="3" t="s">
        <v>665</v>
      </c>
      <c r="Y8" s="3" t="s">
        <v>274</v>
      </c>
      <c r="Z8" s="3" t="s">
        <v>666</v>
      </c>
      <c r="AA8" s="3" t="s">
        <v>667</v>
      </c>
      <c r="AB8" s="3" t="s">
        <v>668</v>
      </c>
      <c r="AC8" s="3" t="s">
        <v>588</v>
      </c>
      <c r="AD8" s="3" t="s">
        <v>669</v>
      </c>
      <c r="AE8" t="s">
        <v>59</v>
      </c>
      <c r="AF8" t="s">
        <v>664</v>
      </c>
      <c r="AG8" t="s">
        <v>276</v>
      </c>
      <c r="AH8" t="s">
        <v>275</v>
      </c>
      <c r="AI8" t="s">
        <v>277</v>
      </c>
      <c r="AJ8" t="s">
        <v>366</v>
      </c>
      <c r="AK8" t="s">
        <v>665</v>
      </c>
      <c r="AL8" t="s">
        <v>274</v>
      </c>
      <c r="AM8" t="s">
        <v>666</v>
      </c>
      <c r="AN8" t="s">
        <v>667</v>
      </c>
      <c r="AO8" t="s">
        <v>668</v>
      </c>
      <c r="AP8" t="s">
        <v>60</v>
      </c>
      <c r="AQ8" t="s">
        <v>588</v>
      </c>
      <c r="AR8" t="s">
        <v>669</v>
      </c>
      <c r="AS8" t="s">
        <v>670</v>
      </c>
      <c r="AT8" t="s">
        <v>671</v>
      </c>
      <c r="AU8" t="s">
        <v>59</v>
      </c>
      <c r="AV8" t="s">
        <v>273</v>
      </c>
      <c r="AW8" t="s">
        <v>274</v>
      </c>
      <c r="AX8" t="s">
        <v>276</v>
      </c>
      <c r="AY8" t="s">
        <v>347</v>
      </c>
      <c r="AZ8" t="s">
        <v>709</v>
      </c>
      <c r="BA8" t="s">
        <v>710</v>
      </c>
      <c r="BB8" t="s">
        <v>711</v>
      </c>
    </row>
    <row r="9" spans="1:70">
      <c r="A9" s="3" t="s">
        <v>87</v>
      </c>
      <c r="B9" s="3" t="s">
        <v>591</v>
      </c>
      <c r="C9" s="2" t="s">
        <v>68</v>
      </c>
      <c r="D9" s="3" t="s">
        <v>56</v>
      </c>
      <c r="E9" s="3" t="s">
        <v>592</v>
      </c>
      <c r="F9" s="3" t="s">
        <v>593</v>
      </c>
      <c r="G9" s="3" t="s">
        <v>594</v>
      </c>
      <c r="H9" s="3" t="s">
        <v>595</v>
      </c>
      <c r="I9" s="3" t="s">
        <v>596</v>
      </c>
      <c r="J9" s="3" t="s">
        <v>597</v>
      </c>
      <c r="K9" s="3" t="s">
        <v>598</v>
      </c>
      <c r="L9" s="3" t="s">
        <v>599</v>
      </c>
      <c r="M9" s="3" t="s">
        <v>600</v>
      </c>
      <c r="N9" s="3" t="s">
        <v>601</v>
      </c>
      <c r="O9" s="3" t="s">
        <v>602</v>
      </c>
      <c r="P9" s="3" t="s">
        <v>603</v>
      </c>
      <c r="Q9" s="3" t="s">
        <v>604</v>
      </c>
      <c r="R9" s="3" t="s">
        <v>445</v>
      </c>
      <c r="S9" s="3" t="s">
        <v>279</v>
      </c>
      <c r="T9" s="3" t="s">
        <v>278</v>
      </c>
      <c r="U9" s="3" t="s">
        <v>443</v>
      </c>
      <c r="V9" s="3" t="s">
        <v>444</v>
      </c>
      <c r="W9" s="3" t="s">
        <v>446</v>
      </c>
      <c r="X9" s="3" t="s">
        <v>447</v>
      </c>
      <c r="Y9" s="3" t="s">
        <v>448</v>
      </c>
      <c r="Z9" s="3" t="s">
        <v>449</v>
      </c>
      <c r="AA9" s="3" t="s">
        <v>451</v>
      </c>
      <c r="AB9" s="3" t="s">
        <v>378</v>
      </c>
      <c r="AC9" s="3" t="s">
        <v>452</v>
      </c>
      <c r="AD9" t="s">
        <v>350</v>
      </c>
      <c r="AE9" t="s">
        <v>442</v>
      </c>
      <c r="AF9" t="s">
        <v>57</v>
      </c>
      <c r="AG9" t="s">
        <v>278</v>
      </c>
      <c r="AH9" t="s">
        <v>443</v>
      </c>
      <c r="AI9" t="s">
        <v>279</v>
      </c>
      <c r="AJ9" t="s">
        <v>444</v>
      </c>
      <c r="AK9" t="s">
        <v>445</v>
      </c>
      <c r="AL9" t="s">
        <v>446</v>
      </c>
      <c r="AM9" t="s">
        <v>447</v>
      </c>
      <c r="AN9" t="s">
        <v>448</v>
      </c>
      <c r="AO9" t="s">
        <v>449</v>
      </c>
      <c r="AP9" t="s">
        <v>450</v>
      </c>
      <c r="AQ9" t="s">
        <v>451</v>
      </c>
      <c r="AR9" t="s">
        <v>378</v>
      </c>
      <c r="AS9" t="s">
        <v>452</v>
      </c>
      <c r="AT9" t="s">
        <v>350</v>
      </c>
      <c r="AU9" t="s">
        <v>278</v>
      </c>
      <c r="AV9" t="s">
        <v>712</v>
      </c>
      <c r="AW9" t="s">
        <v>713</v>
      </c>
      <c r="AX9" t="s">
        <v>282</v>
      </c>
      <c r="AY9" t="s">
        <v>714</v>
      </c>
      <c r="AZ9" t="s">
        <v>281</v>
      </c>
      <c r="BA9" t="s">
        <v>715</v>
      </c>
    </row>
    <row r="10" spans="1:70">
      <c r="A10" s="3" t="s">
        <v>88</v>
      </c>
      <c r="B10" s="3" t="s">
        <v>387</v>
      </c>
      <c r="C10" s="2" t="s">
        <v>348</v>
      </c>
      <c r="D10" s="3" t="s">
        <v>389</v>
      </c>
      <c r="E10" s="3" t="s">
        <v>394</v>
      </c>
      <c r="F10" s="3" t="s">
        <v>391</v>
      </c>
      <c r="G10" s="3" t="s">
        <v>393</v>
      </c>
      <c r="H10" s="3" t="s">
        <v>395</v>
      </c>
      <c r="I10" s="3" t="s">
        <v>390</v>
      </c>
      <c r="J10" s="3" t="s">
        <v>388</v>
      </c>
      <c r="K10" s="3" t="s">
        <v>392</v>
      </c>
      <c r="L10" s="3" t="s">
        <v>396</v>
      </c>
      <c r="M10" s="3" t="s">
        <v>400</v>
      </c>
      <c r="N10" s="3" t="s">
        <v>399</v>
      </c>
      <c r="O10" s="3" t="s">
        <v>397</v>
      </c>
      <c r="P10" s="3" t="s">
        <v>401</v>
      </c>
      <c r="Q10" s="3" t="s">
        <v>398</v>
      </c>
      <c r="R10" s="3" t="s">
        <v>458</v>
      </c>
      <c r="S10" s="3" t="s">
        <v>467</v>
      </c>
      <c r="T10" s="3" t="s">
        <v>462</v>
      </c>
      <c r="U10" s="3" t="s">
        <v>463</v>
      </c>
      <c r="V10" s="3" t="s">
        <v>454</v>
      </c>
      <c r="W10" s="3" t="s">
        <v>456</v>
      </c>
      <c r="X10" s="3" t="s">
        <v>457</v>
      </c>
      <c r="Y10" s="3" t="s">
        <v>459</v>
      </c>
      <c r="Z10" s="3" t="s">
        <v>460</v>
      </c>
      <c r="AA10" s="3" t="s">
        <v>464</v>
      </c>
      <c r="AB10" s="3" t="s">
        <v>465</v>
      </c>
      <c r="AC10" s="3" t="s">
        <v>466</v>
      </c>
      <c r="AD10" s="3" t="s">
        <v>467</v>
      </c>
      <c r="AE10" t="s">
        <v>81</v>
      </c>
      <c r="AF10" t="s">
        <v>453</v>
      </c>
      <c r="AG10" t="s">
        <v>454</v>
      </c>
      <c r="AH10" t="s">
        <v>455</v>
      </c>
      <c r="AI10" t="s">
        <v>456</v>
      </c>
      <c r="AJ10" t="s">
        <v>457</v>
      </c>
      <c r="AK10" t="s">
        <v>458</v>
      </c>
      <c r="AL10" t="s">
        <v>459</v>
      </c>
      <c r="AM10" t="s">
        <v>460</v>
      </c>
      <c r="AN10" t="s">
        <v>461</v>
      </c>
      <c r="AO10" t="s">
        <v>462</v>
      </c>
      <c r="AP10" t="s">
        <v>463</v>
      </c>
      <c r="AQ10" t="s">
        <v>464</v>
      </c>
      <c r="AR10" t="s">
        <v>465</v>
      </c>
      <c r="AS10" t="s">
        <v>466</v>
      </c>
      <c r="AT10" t="s">
        <v>467</v>
      </c>
      <c r="AU10" t="s">
        <v>81</v>
      </c>
      <c r="AV10" t="s">
        <v>716</v>
      </c>
      <c r="AW10" t="s">
        <v>717</v>
      </c>
      <c r="AX10" t="s">
        <v>718</v>
      </c>
      <c r="AY10" t="s">
        <v>719</v>
      </c>
      <c r="AZ10" t="s">
        <v>720</v>
      </c>
      <c r="BA10" t="s">
        <v>721</v>
      </c>
      <c r="BB10" t="s">
        <v>286</v>
      </c>
    </row>
    <row r="11" spans="1:70">
      <c r="A11" s="3" t="s">
        <v>88</v>
      </c>
      <c r="B11" s="3" t="s">
        <v>453</v>
      </c>
      <c r="C11" s="2" t="s">
        <v>81</v>
      </c>
      <c r="D11" s="3" t="s">
        <v>455</v>
      </c>
      <c r="E11" s="3" t="s">
        <v>463</v>
      </c>
      <c r="F11" s="3" t="s">
        <v>454</v>
      </c>
      <c r="G11" s="3" t="s">
        <v>456</v>
      </c>
      <c r="H11" s="3" t="s">
        <v>457</v>
      </c>
      <c r="I11" s="3" t="s">
        <v>458</v>
      </c>
      <c r="J11" s="3" t="s">
        <v>459</v>
      </c>
      <c r="K11" s="3" t="s">
        <v>460</v>
      </c>
      <c r="L11" s="3" t="s">
        <v>461</v>
      </c>
      <c r="M11" s="3" t="s">
        <v>462</v>
      </c>
      <c r="N11" s="3" t="s">
        <v>464</v>
      </c>
      <c r="O11" s="3" t="s">
        <v>465</v>
      </c>
      <c r="P11" s="3" t="s">
        <v>466</v>
      </c>
      <c r="Q11" s="3" t="s">
        <v>467</v>
      </c>
      <c r="R11" s="3" t="s">
        <v>471</v>
      </c>
      <c r="S11" s="3" t="s">
        <v>454</v>
      </c>
      <c r="T11" s="3" t="s">
        <v>289</v>
      </c>
      <c r="U11" s="3" t="s">
        <v>288</v>
      </c>
      <c r="V11" s="3" t="s">
        <v>469</v>
      </c>
      <c r="W11" s="3" t="s">
        <v>470</v>
      </c>
      <c r="X11" s="3" t="s">
        <v>472</v>
      </c>
      <c r="Y11" s="3" t="s">
        <v>473</v>
      </c>
      <c r="Z11" s="3" t="s">
        <v>474</v>
      </c>
      <c r="AA11" s="3" t="s">
        <v>475</v>
      </c>
      <c r="AB11" s="3" t="s">
        <v>476</v>
      </c>
      <c r="AC11" s="3" t="s">
        <v>477</v>
      </c>
      <c r="AD11" s="3" t="s">
        <v>279</v>
      </c>
      <c r="AE11" s="3" t="s">
        <v>478</v>
      </c>
      <c r="AF11" t="s">
        <v>351</v>
      </c>
      <c r="AG11" t="s">
        <v>468</v>
      </c>
      <c r="AH11" t="s">
        <v>454</v>
      </c>
      <c r="AI11" t="s">
        <v>289</v>
      </c>
      <c r="AJ11" t="s">
        <v>469</v>
      </c>
      <c r="AK11" t="s">
        <v>288</v>
      </c>
      <c r="AL11" t="s">
        <v>470</v>
      </c>
      <c r="AM11" t="s">
        <v>471</v>
      </c>
      <c r="AN11" t="s">
        <v>472</v>
      </c>
      <c r="AO11" t="s">
        <v>473</v>
      </c>
      <c r="AP11" t="s">
        <v>474</v>
      </c>
      <c r="AQ11" t="s">
        <v>475</v>
      </c>
      <c r="AR11" t="s">
        <v>476</v>
      </c>
      <c r="AS11" t="s">
        <v>477</v>
      </c>
      <c r="AT11" t="s">
        <v>279</v>
      </c>
      <c r="AU11" t="s">
        <v>478</v>
      </c>
      <c r="AV11" t="s">
        <v>351</v>
      </c>
      <c r="AW11" t="s">
        <v>352</v>
      </c>
      <c r="AX11" t="s">
        <v>290</v>
      </c>
      <c r="AY11" t="s">
        <v>291</v>
      </c>
      <c r="AZ11" t="s">
        <v>289</v>
      </c>
      <c r="BA11" t="s">
        <v>469</v>
      </c>
      <c r="BB11" t="s">
        <v>722</v>
      </c>
      <c r="BC11" t="s">
        <v>470</v>
      </c>
    </row>
    <row r="12" spans="1:70">
      <c r="A12" s="3" t="s">
        <v>88</v>
      </c>
      <c r="B12" s="3" t="s">
        <v>528</v>
      </c>
      <c r="C12" s="2" t="s">
        <v>527</v>
      </c>
      <c r="D12" s="3" t="s">
        <v>292</v>
      </c>
      <c r="E12" s="3" t="s">
        <v>529</v>
      </c>
      <c r="F12" s="3" t="s">
        <v>306</v>
      </c>
      <c r="G12" s="3" t="s">
        <v>530</v>
      </c>
      <c r="H12" s="3" t="s">
        <v>531</v>
      </c>
      <c r="I12" s="3" t="s">
        <v>532</v>
      </c>
      <c r="J12" s="3" t="s">
        <v>533</v>
      </c>
      <c r="K12" s="3" t="s">
        <v>534</v>
      </c>
      <c r="L12" s="3" t="s">
        <v>535</v>
      </c>
      <c r="M12" s="3" t="s">
        <v>536</v>
      </c>
      <c r="N12" s="3" t="s">
        <v>537</v>
      </c>
      <c r="O12" s="3" t="s">
        <v>538</v>
      </c>
      <c r="P12" s="3" t="s">
        <v>308</v>
      </c>
      <c r="Q12" s="3" t="s">
        <v>307</v>
      </c>
      <c r="R12" s="3" t="s">
        <v>293</v>
      </c>
      <c r="S12" s="3" t="s">
        <v>294</v>
      </c>
      <c r="T12" s="3" t="s">
        <v>480</v>
      </c>
      <c r="U12" s="3" t="s">
        <v>481</v>
      </c>
      <c r="V12" s="3" t="s">
        <v>482</v>
      </c>
      <c r="W12" s="3" t="s">
        <v>483</v>
      </c>
      <c r="X12" s="3" t="s">
        <v>484</v>
      </c>
      <c r="Y12" s="3" t="s">
        <v>485</v>
      </c>
      <c r="Z12" s="3" t="s">
        <v>486</v>
      </c>
      <c r="AA12" s="3" t="s">
        <v>295</v>
      </c>
      <c r="AB12" s="3" t="s">
        <v>487</v>
      </c>
      <c r="AC12" s="3" t="s">
        <v>488</v>
      </c>
      <c r="AD12" s="3" t="s">
        <v>63</v>
      </c>
      <c r="AE12" s="3" t="s">
        <v>489</v>
      </c>
      <c r="AF12" t="s">
        <v>353</v>
      </c>
      <c r="AG12" t="s">
        <v>479</v>
      </c>
      <c r="AH12" t="s">
        <v>63</v>
      </c>
      <c r="AI12" t="s">
        <v>294</v>
      </c>
      <c r="AJ12" t="s">
        <v>293</v>
      </c>
      <c r="AK12" t="s">
        <v>480</v>
      </c>
      <c r="AL12" t="s">
        <v>481</v>
      </c>
      <c r="AM12" t="s">
        <v>482</v>
      </c>
      <c r="AN12" t="s">
        <v>483</v>
      </c>
      <c r="AO12" t="s">
        <v>484</v>
      </c>
      <c r="AP12" t="s">
        <v>485</v>
      </c>
      <c r="AQ12" t="s">
        <v>486</v>
      </c>
      <c r="AR12" t="s">
        <v>295</v>
      </c>
      <c r="AS12" t="s">
        <v>487</v>
      </c>
      <c r="AT12" t="s">
        <v>488</v>
      </c>
      <c r="AU12" t="s">
        <v>489</v>
      </c>
      <c r="AV12" t="s">
        <v>353</v>
      </c>
      <c r="AW12" t="s">
        <v>356</v>
      </c>
      <c r="AX12" t="s">
        <v>355</v>
      </c>
      <c r="AY12" t="s">
        <v>359</v>
      </c>
      <c r="AZ12" t="s">
        <v>723</v>
      </c>
      <c r="BA12" t="s">
        <v>358</v>
      </c>
      <c r="BB12" t="s">
        <v>724</v>
      </c>
      <c r="BC12" t="s">
        <v>354</v>
      </c>
    </row>
    <row r="13" spans="1:70">
      <c r="A13" s="3" t="s">
        <v>88</v>
      </c>
      <c r="B13" s="3" t="s">
        <v>605</v>
      </c>
      <c r="C13" s="2" t="s">
        <v>65</v>
      </c>
      <c r="D13" s="3" t="s">
        <v>606</v>
      </c>
      <c r="E13" s="3" t="s">
        <v>607</v>
      </c>
      <c r="F13" s="3" t="s">
        <v>608</v>
      </c>
      <c r="G13" s="3" t="s">
        <v>609</v>
      </c>
      <c r="H13" s="3" t="s">
        <v>610</v>
      </c>
      <c r="I13" s="3" t="s">
        <v>611</v>
      </c>
      <c r="J13" s="3" t="s">
        <v>612</v>
      </c>
      <c r="K13" s="3" t="s">
        <v>613</v>
      </c>
      <c r="L13" s="3" t="s">
        <v>614</v>
      </c>
      <c r="M13" s="3" t="s">
        <v>615</v>
      </c>
      <c r="N13" s="3" t="s">
        <v>616</v>
      </c>
      <c r="O13" s="3" t="s">
        <v>617</v>
      </c>
      <c r="P13" s="3" t="s">
        <v>618</v>
      </c>
      <c r="Q13" s="3" t="s">
        <v>619</v>
      </c>
      <c r="R13" s="3" t="s">
        <v>297</v>
      </c>
      <c r="S13" s="3" t="s">
        <v>500</v>
      </c>
      <c r="T13" s="3" t="s">
        <v>360</v>
      </c>
      <c r="U13" s="3" t="s">
        <v>296</v>
      </c>
      <c r="V13" s="3" t="s">
        <v>300</v>
      </c>
      <c r="W13" s="3" t="s">
        <v>491</v>
      </c>
      <c r="X13" s="3" t="s">
        <v>492</v>
      </c>
      <c r="Y13" s="3" t="s">
        <v>493</v>
      </c>
      <c r="Z13" s="3" t="s">
        <v>494</v>
      </c>
      <c r="AA13" s="3" t="s">
        <v>495</v>
      </c>
      <c r="AB13" s="3" t="s">
        <v>496</v>
      </c>
      <c r="AC13" s="3" t="s">
        <v>497</v>
      </c>
      <c r="AD13" s="3" t="s">
        <v>498</v>
      </c>
      <c r="AE13" s="3" t="s">
        <v>499</v>
      </c>
      <c r="AF13" t="s">
        <v>63</v>
      </c>
      <c r="AG13" t="s">
        <v>490</v>
      </c>
      <c r="AH13" t="s">
        <v>296</v>
      </c>
      <c r="AI13" t="s">
        <v>300</v>
      </c>
      <c r="AJ13" t="s">
        <v>297</v>
      </c>
      <c r="AK13" t="s">
        <v>491</v>
      </c>
      <c r="AL13" t="s">
        <v>492</v>
      </c>
      <c r="AM13" t="s">
        <v>493</v>
      </c>
      <c r="AN13" t="s">
        <v>494</v>
      </c>
      <c r="AO13" t="s">
        <v>495</v>
      </c>
      <c r="AP13" t="s">
        <v>496</v>
      </c>
      <c r="AQ13" t="s">
        <v>497</v>
      </c>
      <c r="AR13" t="s">
        <v>498</v>
      </c>
      <c r="AS13" t="s">
        <v>499</v>
      </c>
      <c r="AT13" t="s">
        <v>360</v>
      </c>
      <c r="AU13" t="s">
        <v>500</v>
      </c>
      <c r="AV13" t="s">
        <v>63</v>
      </c>
      <c r="AW13" t="s">
        <v>296</v>
      </c>
      <c r="AX13" t="s">
        <v>360</v>
      </c>
      <c r="AY13" t="s">
        <v>297</v>
      </c>
      <c r="AZ13" t="s">
        <v>298</v>
      </c>
      <c r="BA13" t="s">
        <v>301</v>
      </c>
      <c r="BB13" t="s">
        <v>300</v>
      </c>
      <c r="BC13" t="s">
        <v>299</v>
      </c>
    </row>
    <row r="14" spans="1:70">
      <c r="A14" s="3" t="s">
        <v>89</v>
      </c>
      <c r="B14" s="3" t="s">
        <v>403</v>
      </c>
      <c r="C14" s="2" t="s">
        <v>402</v>
      </c>
      <c r="D14" s="3" t="s">
        <v>258</v>
      </c>
      <c r="E14" s="3" t="s">
        <v>404</v>
      </c>
      <c r="F14" s="3" t="s">
        <v>260</v>
      </c>
      <c r="G14" s="3" t="s">
        <v>406</v>
      </c>
      <c r="H14" s="3" t="s">
        <v>405</v>
      </c>
      <c r="I14" s="3" t="s">
        <v>408</v>
      </c>
      <c r="J14" s="3" t="s">
        <v>407</v>
      </c>
      <c r="K14" s="3" t="s">
        <v>409</v>
      </c>
      <c r="L14" s="3" t="s">
        <v>410</v>
      </c>
      <c r="M14" s="3" t="s">
        <v>411</v>
      </c>
      <c r="N14" s="3" t="s">
        <v>412</v>
      </c>
      <c r="O14" s="3" t="s">
        <v>413</v>
      </c>
      <c r="P14" s="3" t="s">
        <v>414</v>
      </c>
      <c r="Q14" s="3" t="s">
        <v>415</v>
      </c>
      <c r="R14" s="3" t="s">
        <v>507</v>
      </c>
      <c r="S14" s="3" t="s">
        <v>304</v>
      </c>
      <c r="T14" s="3" t="s">
        <v>302</v>
      </c>
      <c r="U14" s="3" t="s">
        <v>502</v>
      </c>
      <c r="V14" s="3" t="s">
        <v>503</v>
      </c>
      <c r="W14" s="3" t="s">
        <v>504</v>
      </c>
      <c r="X14" s="3" t="s">
        <v>505</v>
      </c>
      <c r="Y14" s="3" t="s">
        <v>506</v>
      </c>
      <c r="Z14" s="3" t="s">
        <v>508</v>
      </c>
      <c r="AA14" s="3" t="s">
        <v>509</v>
      </c>
      <c r="AB14" s="3" t="s">
        <v>510</v>
      </c>
      <c r="AC14" s="3" t="s">
        <v>511</v>
      </c>
      <c r="AD14" s="3" t="s">
        <v>512</v>
      </c>
      <c r="AE14" s="3" t="s">
        <v>513</v>
      </c>
      <c r="AF14" t="s">
        <v>61</v>
      </c>
      <c r="AG14" t="s">
        <v>501</v>
      </c>
      <c r="AH14" t="s">
        <v>302</v>
      </c>
      <c r="AI14" t="s">
        <v>502</v>
      </c>
      <c r="AJ14" t="s">
        <v>304</v>
      </c>
      <c r="AK14" t="s">
        <v>503</v>
      </c>
      <c r="AL14" t="s">
        <v>504</v>
      </c>
      <c r="AM14" t="s">
        <v>505</v>
      </c>
      <c r="AN14" t="s">
        <v>506</v>
      </c>
      <c r="AO14" t="s">
        <v>507</v>
      </c>
      <c r="AP14" t="s">
        <v>508</v>
      </c>
      <c r="AQ14" t="s">
        <v>509</v>
      </c>
      <c r="AR14" t="s">
        <v>510</v>
      </c>
      <c r="AS14" t="s">
        <v>511</v>
      </c>
      <c r="AT14" t="s">
        <v>512</v>
      </c>
      <c r="AU14" t="s">
        <v>513</v>
      </c>
      <c r="AV14" t="s">
        <v>61</v>
      </c>
      <c r="AW14" t="s">
        <v>302</v>
      </c>
      <c r="AX14" t="s">
        <v>303</v>
      </c>
      <c r="AY14" t="s">
        <v>686</v>
      </c>
      <c r="AZ14" t="s">
        <v>725</v>
      </c>
      <c r="BA14" t="s">
        <v>726</v>
      </c>
      <c r="BB14" t="s">
        <v>727</v>
      </c>
      <c r="BC14" t="s">
        <v>304</v>
      </c>
    </row>
    <row r="15" spans="1:70">
      <c r="A15" s="3" t="s">
        <v>89</v>
      </c>
      <c r="B15" s="3" t="s">
        <v>468</v>
      </c>
      <c r="C15" s="2" t="s">
        <v>351</v>
      </c>
      <c r="D15" s="3" t="s">
        <v>454</v>
      </c>
      <c r="E15" s="3" t="s">
        <v>471</v>
      </c>
      <c r="F15" s="3" t="s">
        <v>289</v>
      </c>
      <c r="G15" s="3" t="s">
        <v>288</v>
      </c>
      <c r="H15" s="3" t="s">
        <v>469</v>
      </c>
      <c r="I15" s="3" t="s">
        <v>470</v>
      </c>
      <c r="J15" s="3" t="s">
        <v>472</v>
      </c>
      <c r="K15" s="3" t="s">
        <v>473</v>
      </c>
      <c r="L15" s="3" t="s">
        <v>474</v>
      </c>
      <c r="M15" s="3" t="s">
        <v>475</v>
      </c>
      <c r="N15" s="3" t="s">
        <v>476</v>
      </c>
      <c r="O15" s="3" t="s">
        <v>477</v>
      </c>
      <c r="P15" s="3" t="s">
        <v>279</v>
      </c>
      <c r="Q15" s="3" t="s">
        <v>478</v>
      </c>
      <c r="R15" s="3" t="s">
        <v>514</v>
      </c>
      <c r="S15" s="3" t="s">
        <v>515</v>
      </c>
      <c r="T15" s="3" t="s">
        <v>516</v>
      </c>
      <c r="U15" s="3" t="s">
        <v>517</v>
      </c>
      <c r="V15" s="3" t="s">
        <v>518</v>
      </c>
      <c r="W15" s="3" t="s">
        <v>519</v>
      </c>
      <c r="X15" s="3" t="s">
        <v>520</v>
      </c>
      <c r="Y15" s="3" t="s">
        <v>521</v>
      </c>
      <c r="Z15" s="3" t="s">
        <v>522</v>
      </c>
      <c r="AA15" s="3" t="s">
        <v>523</v>
      </c>
      <c r="AB15" s="3" t="s">
        <v>305</v>
      </c>
      <c r="AC15" s="3" t="s">
        <v>524</v>
      </c>
      <c r="AD15" s="3" t="s">
        <v>525</v>
      </c>
      <c r="AE15" s="3" t="s">
        <v>526</v>
      </c>
      <c r="AF15" t="s">
        <v>361</v>
      </c>
      <c r="AG15" t="s">
        <v>55</v>
      </c>
      <c r="AH15" t="s">
        <v>514</v>
      </c>
      <c r="AI15" t="s">
        <v>515</v>
      </c>
      <c r="AJ15" t="s">
        <v>516</v>
      </c>
      <c r="AK15" t="s">
        <v>517</v>
      </c>
      <c r="AL15" t="s">
        <v>518</v>
      </c>
      <c r="AM15" t="s">
        <v>519</v>
      </c>
      <c r="AN15" t="s">
        <v>520</v>
      </c>
      <c r="AO15" t="s">
        <v>521</v>
      </c>
      <c r="AP15" t="s">
        <v>522</v>
      </c>
      <c r="AQ15" t="s">
        <v>523</v>
      </c>
      <c r="AR15" t="s">
        <v>305</v>
      </c>
      <c r="AS15" t="s">
        <v>524</v>
      </c>
      <c r="AT15" t="s">
        <v>525</v>
      </c>
      <c r="AU15" t="s">
        <v>526</v>
      </c>
      <c r="AV15" t="s">
        <v>361</v>
      </c>
      <c r="AW15" t="s">
        <v>362</v>
      </c>
      <c r="AX15" t="s">
        <v>728</v>
      </c>
      <c r="AY15" t="s">
        <v>729</v>
      </c>
      <c r="AZ15" t="s">
        <v>730</v>
      </c>
      <c r="BA15" t="s">
        <v>731</v>
      </c>
      <c r="BB15" t="s">
        <v>732</v>
      </c>
      <c r="BC15" t="s">
        <v>733</v>
      </c>
    </row>
    <row r="16" spans="1:70">
      <c r="A16" s="3" t="s">
        <v>89</v>
      </c>
      <c r="B16" s="3" t="s">
        <v>539</v>
      </c>
      <c r="C16" s="2" t="s">
        <v>62</v>
      </c>
      <c r="D16" s="3" t="s">
        <v>310</v>
      </c>
      <c r="E16" s="3" t="s">
        <v>540</v>
      </c>
      <c r="F16" s="3" t="s">
        <v>309</v>
      </c>
      <c r="G16" s="3" t="s">
        <v>541</v>
      </c>
      <c r="H16" s="3" t="s">
        <v>542</v>
      </c>
      <c r="I16" s="3" t="s">
        <v>543</v>
      </c>
      <c r="J16" s="3" t="s">
        <v>544</v>
      </c>
      <c r="K16" s="3" t="s">
        <v>545</v>
      </c>
      <c r="L16" s="3" t="s">
        <v>546</v>
      </c>
      <c r="M16" s="3" t="s">
        <v>547</v>
      </c>
      <c r="N16" s="3" t="s">
        <v>548</v>
      </c>
      <c r="O16" s="3" t="s">
        <v>549</v>
      </c>
      <c r="P16" s="3" t="s">
        <v>550</v>
      </c>
      <c r="Q16" s="3" t="s">
        <v>551</v>
      </c>
      <c r="R16" s="3" t="s">
        <v>682</v>
      </c>
      <c r="S16" s="3" t="s">
        <v>292</v>
      </c>
      <c r="T16" s="3" t="s">
        <v>529</v>
      </c>
      <c r="U16" s="3" t="s">
        <v>306</v>
      </c>
      <c r="V16" s="3" t="s">
        <v>530</v>
      </c>
      <c r="W16" s="3" t="s">
        <v>531</v>
      </c>
      <c r="X16" s="3" t="s">
        <v>532</v>
      </c>
      <c r="Y16" s="3" t="s">
        <v>533</v>
      </c>
      <c r="Z16" s="3" t="s">
        <v>534</v>
      </c>
      <c r="AA16" s="3" t="s">
        <v>535</v>
      </c>
      <c r="AB16" s="3" t="s">
        <v>536</v>
      </c>
      <c r="AC16" s="3" t="s">
        <v>537</v>
      </c>
      <c r="AD16" s="3" t="s">
        <v>538</v>
      </c>
      <c r="AE16" s="3" t="s">
        <v>308</v>
      </c>
      <c r="AF16" s="3" t="s">
        <v>307</v>
      </c>
      <c r="AG16" t="s">
        <v>527</v>
      </c>
      <c r="AH16" t="s">
        <v>528</v>
      </c>
      <c r="AI16" t="s">
        <v>292</v>
      </c>
      <c r="AJ16" t="s">
        <v>529</v>
      </c>
      <c r="AK16" t="s">
        <v>306</v>
      </c>
      <c r="AL16" t="s">
        <v>530</v>
      </c>
      <c r="AM16" t="s">
        <v>531</v>
      </c>
      <c r="AN16" t="s">
        <v>532</v>
      </c>
      <c r="AO16" t="s">
        <v>533</v>
      </c>
      <c r="AP16" t="s">
        <v>534</v>
      </c>
      <c r="AQ16" t="s">
        <v>535</v>
      </c>
      <c r="AR16" t="s">
        <v>536</v>
      </c>
      <c r="AS16" t="s">
        <v>537</v>
      </c>
      <c r="AT16" t="s">
        <v>538</v>
      </c>
      <c r="AU16" t="s">
        <v>308</v>
      </c>
      <c r="AV16" t="s">
        <v>307</v>
      </c>
      <c r="AW16" t="s">
        <v>734</v>
      </c>
      <c r="AX16" t="s">
        <v>735</v>
      </c>
      <c r="AY16" t="s">
        <v>736</v>
      </c>
      <c r="AZ16" t="s">
        <v>737</v>
      </c>
      <c r="BA16" t="s">
        <v>738</v>
      </c>
      <c r="BB16" t="s">
        <v>739</v>
      </c>
      <c r="BC16" t="s">
        <v>740</v>
      </c>
      <c r="BD16" t="s">
        <v>741</v>
      </c>
    </row>
    <row r="17" spans="1:55">
      <c r="A17" s="3" t="s">
        <v>89</v>
      </c>
      <c r="B17" s="3" t="s">
        <v>620</v>
      </c>
      <c r="C17" s="2" t="s">
        <v>57</v>
      </c>
      <c r="D17" s="3" t="s">
        <v>621</v>
      </c>
      <c r="E17" s="3" t="s">
        <v>278</v>
      </c>
      <c r="F17" s="3" t="s">
        <v>622</v>
      </c>
      <c r="G17" s="3" t="s">
        <v>623</v>
      </c>
      <c r="H17" s="3" t="s">
        <v>624</v>
      </c>
      <c r="I17" s="3" t="s">
        <v>625</v>
      </c>
      <c r="J17" s="3" t="s">
        <v>626</v>
      </c>
      <c r="K17" s="3" t="s">
        <v>627</v>
      </c>
      <c r="L17" s="3" t="s">
        <v>628</v>
      </c>
      <c r="M17" s="3" t="s">
        <v>629</v>
      </c>
      <c r="N17" s="3" t="s">
        <v>630</v>
      </c>
      <c r="O17" s="3" t="s">
        <v>631</v>
      </c>
      <c r="P17" s="3" t="s">
        <v>632</v>
      </c>
      <c r="Q17" s="3" t="s">
        <v>633</v>
      </c>
      <c r="R17" s="3" t="s">
        <v>310</v>
      </c>
      <c r="S17" s="3" t="s">
        <v>540</v>
      </c>
      <c r="T17" s="3" t="s">
        <v>309</v>
      </c>
      <c r="U17" s="3" t="s">
        <v>541</v>
      </c>
      <c r="V17" s="3" t="s">
        <v>542</v>
      </c>
      <c r="W17" s="3" t="s">
        <v>543</v>
      </c>
      <c r="X17" s="3" t="s">
        <v>544</v>
      </c>
      <c r="Y17" s="3" t="s">
        <v>545</v>
      </c>
      <c r="Z17" s="3" t="s">
        <v>546</v>
      </c>
      <c r="AA17" s="3" t="s">
        <v>547</v>
      </c>
      <c r="AB17" s="3" t="s">
        <v>548</v>
      </c>
      <c r="AC17" s="3" t="s">
        <v>549</v>
      </c>
      <c r="AD17" s="3" t="s">
        <v>550</v>
      </c>
      <c r="AE17" s="3" t="s">
        <v>551</v>
      </c>
      <c r="AF17" t="s">
        <v>62</v>
      </c>
      <c r="AG17" t="s">
        <v>539</v>
      </c>
      <c r="AH17" t="s">
        <v>310</v>
      </c>
      <c r="AI17" t="s">
        <v>540</v>
      </c>
      <c r="AJ17" t="s">
        <v>309</v>
      </c>
      <c r="AK17" t="s">
        <v>541</v>
      </c>
      <c r="AL17" t="s">
        <v>542</v>
      </c>
      <c r="AM17" t="s">
        <v>543</v>
      </c>
      <c r="AN17" t="s">
        <v>544</v>
      </c>
      <c r="AO17" t="s">
        <v>545</v>
      </c>
      <c r="AP17" t="s">
        <v>546</v>
      </c>
      <c r="AQ17" t="s">
        <v>547</v>
      </c>
      <c r="AR17" t="s">
        <v>548</v>
      </c>
      <c r="AS17" t="s">
        <v>549</v>
      </c>
      <c r="AT17" t="s">
        <v>550</v>
      </c>
      <c r="AU17" t="s">
        <v>551</v>
      </c>
      <c r="AV17" t="s">
        <v>62</v>
      </c>
      <c r="AW17" t="s">
        <v>309</v>
      </c>
      <c r="AX17" t="s">
        <v>310</v>
      </c>
      <c r="AY17" t="s">
        <v>311</v>
      </c>
      <c r="AZ17" t="s">
        <v>315</v>
      </c>
      <c r="BA17" t="s">
        <v>314</v>
      </c>
      <c r="BB17" t="s">
        <v>312</v>
      </c>
      <c r="BC17" t="s">
        <v>742</v>
      </c>
    </row>
    <row r="18" spans="1:55">
      <c r="A18" s="3" t="s">
        <v>90</v>
      </c>
      <c r="B18" s="3" t="s">
        <v>416</v>
      </c>
      <c r="C18" s="2" t="s">
        <v>74</v>
      </c>
      <c r="D18" s="3" t="s">
        <v>263</v>
      </c>
      <c r="E18" s="3" t="s">
        <v>264</v>
      </c>
      <c r="F18" s="3" t="s">
        <v>265</v>
      </c>
      <c r="G18" s="3" t="s">
        <v>418</v>
      </c>
      <c r="H18" s="3" t="s">
        <v>417</v>
      </c>
      <c r="I18" s="3" t="s">
        <v>420</v>
      </c>
      <c r="J18" s="3" t="s">
        <v>421</v>
      </c>
      <c r="K18" s="3" t="s">
        <v>268</v>
      </c>
      <c r="L18" s="3" t="s">
        <v>419</v>
      </c>
      <c r="M18" s="3" t="s">
        <v>422</v>
      </c>
      <c r="N18" s="3" t="s">
        <v>423</v>
      </c>
      <c r="O18" s="3" t="s">
        <v>425</v>
      </c>
      <c r="P18" s="3" t="s">
        <v>424</v>
      </c>
      <c r="Q18" s="3" t="s">
        <v>426</v>
      </c>
      <c r="R18" s="3" t="s">
        <v>557</v>
      </c>
      <c r="S18" s="3" t="s">
        <v>316</v>
      </c>
      <c r="T18" s="3" t="s">
        <v>553</v>
      </c>
      <c r="U18" s="3" t="s">
        <v>554</v>
      </c>
      <c r="V18" s="3" t="s">
        <v>555</v>
      </c>
      <c r="W18" s="3" t="s">
        <v>556</v>
      </c>
      <c r="X18" s="3" t="s">
        <v>558</v>
      </c>
      <c r="Y18" s="3" t="s">
        <v>559</v>
      </c>
      <c r="Z18" s="3" t="s">
        <v>560</v>
      </c>
      <c r="AA18" s="3" t="s">
        <v>561</v>
      </c>
      <c r="AB18" s="3" t="s">
        <v>562</v>
      </c>
      <c r="AC18" s="3" t="s">
        <v>563</v>
      </c>
      <c r="AD18" s="3" t="s">
        <v>564</v>
      </c>
      <c r="AE18" s="3" t="s">
        <v>565</v>
      </c>
      <c r="AF18" t="s">
        <v>77</v>
      </c>
      <c r="AG18" t="s">
        <v>552</v>
      </c>
      <c r="AH18" t="s">
        <v>316</v>
      </c>
      <c r="AI18" t="s">
        <v>553</v>
      </c>
      <c r="AJ18" t="s">
        <v>554</v>
      </c>
      <c r="AK18" t="s">
        <v>555</v>
      </c>
      <c r="AL18" t="s">
        <v>556</v>
      </c>
      <c r="AM18" t="s">
        <v>557</v>
      </c>
      <c r="AN18" t="s">
        <v>558</v>
      </c>
      <c r="AO18" t="s">
        <v>559</v>
      </c>
      <c r="AP18" t="s">
        <v>560</v>
      </c>
      <c r="AQ18" t="s">
        <v>561</v>
      </c>
      <c r="AR18" t="s">
        <v>562</v>
      </c>
      <c r="AS18" t="s">
        <v>563</v>
      </c>
      <c r="AT18" t="s">
        <v>564</v>
      </c>
      <c r="AU18" t="s">
        <v>565</v>
      </c>
      <c r="AV18" t="s">
        <v>77</v>
      </c>
      <c r="AW18" t="s">
        <v>743</v>
      </c>
      <c r="AX18" t="s">
        <v>744</v>
      </c>
      <c r="AY18" t="s">
        <v>745</v>
      </c>
      <c r="AZ18" t="s">
        <v>746</v>
      </c>
      <c r="BA18" t="s">
        <v>747</v>
      </c>
      <c r="BB18" t="s">
        <v>748</v>
      </c>
      <c r="BC18" t="s">
        <v>749</v>
      </c>
    </row>
    <row r="19" spans="1:55">
      <c r="A19" s="3" t="s">
        <v>90</v>
      </c>
      <c r="B19" s="3" t="s">
        <v>479</v>
      </c>
      <c r="C19" s="2" t="s">
        <v>353</v>
      </c>
      <c r="D19" s="3" t="s">
        <v>294</v>
      </c>
      <c r="E19" s="3" t="s">
        <v>293</v>
      </c>
      <c r="F19" s="3" t="s">
        <v>480</v>
      </c>
      <c r="G19" s="3" t="s">
        <v>481</v>
      </c>
      <c r="H19" s="3" t="s">
        <v>482</v>
      </c>
      <c r="I19" s="3" t="s">
        <v>483</v>
      </c>
      <c r="J19" s="3" t="s">
        <v>484</v>
      </c>
      <c r="K19" s="3" t="s">
        <v>485</v>
      </c>
      <c r="L19" s="3" t="s">
        <v>486</v>
      </c>
      <c r="M19" s="3" t="s">
        <v>295</v>
      </c>
      <c r="N19" s="3" t="s">
        <v>487</v>
      </c>
      <c r="O19" s="3" t="s">
        <v>488</v>
      </c>
      <c r="P19" s="3" t="s">
        <v>63</v>
      </c>
      <c r="Q19" s="3" t="s">
        <v>489</v>
      </c>
      <c r="R19" s="3" t="s">
        <v>681</v>
      </c>
      <c r="S19" s="3" t="s">
        <v>568</v>
      </c>
      <c r="T19" s="3" t="s">
        <v>569</v>
      </c>
      <c r="U19" s="3" t="s">
        <v>570</v>
      </c>
      <c r="V19" s="3" t="s">
        <v>571</v>
      </c>
      <c r="W19" s="3" t="s">
        <v>572</v>
      </c>
      <c r="X19" s="3" t="s">
        <v>573</v>
      </c>
      <c r="Y19" s="3" t="s">
        <v>574</v>
      </c>
      <c r="Z19" s="3" t="s">
        <v>575</v>
      </c>
      <c r="AA19" s="3" t="s">
        <v>258</v>
      </c>
      <c r="AB19" s="3" t="s">
        <v>576</v>
      </c>
      <c r="AC19" s="3" t="s">
        <v>577</v>
      </c>
      <c r="AD19" s="3" t="s">
        <v>578</v>
      </c>
      <c r="AE19" s="3" t="s">
        <v>579</v>
      </c>
      <c r="AF19" t="s">
        <v>66</v>
      </c>
      <c r="AG19" t="s">
        <v>566</v>
      </c>
      <c r="AH19" t="s">
        <v>567</v>
      </c>
      <c r="AI19" t="s">
        <v>568</v>
      </c>
      <c r="AJ19" t="s">
        <v>569</v>
      </c>
      <c r="AK19" t="s">
        <v>570</v>
      </c>
      <c r="AL19" t="s">
        <v>571</v>
      </c>
      <c r="AM19" t="s">
        <v>572</v>
      </c>
      <c r="AN19" t="s">
        <v>573</v>
      </c>
      <c r="AO19" t="s">
        <v>574</v>
      </c>
      <c r="AP19" t="s">
        <v>575</v>
      </c>
      <c r="AQ19" t="s">
        <v>258</v>
      </c>
      <c r="AR19" t="s">
        <v>576</v>
      </c>
      <c r="AS19" t="s">
        <v>577</v>
      </c>
      <c r="AT19" t="s">
        <v>578</v>
      </c>
      <c r="AU19" t="s">
        <v>579</v>
      </c>
      <c r="AV19" t="s">
        <v>66</v>
      </c>
      <c r="AW19" t="s">
        <v>317</v>
      </c>
      <c r="AX19" t="s">
        <v>567</v>
      </c>
      <c r="AY19" t="s">
        <v>776</v>
      </c>
      <c r="AZ19" t="s">
        <v>777</v>
      </c>
      <c r="BA19" t="s">
        <v>778</v>
      </c>
      <c r="BB19" t="s">
        <v>779</v>
      </c>
      <c r="BC19" t="s">
        <v>780</v>
      </c>
    </row>
    <row r="20" spans="1:55">
      <c r="A20" s="3" t="s">
        <v>90</v>
      </c>
      <c r="B20" s="3" t="s">
        <v>552</v>
      </c>
      <c r="C20" s="2" t="s">
        <v>77</v>
      </c>
      <c r="D20" s="3" t="s">
        <v>316</v>
      </c>
      <c r="E20" s="3" t="s">
        <v>553</v>
      </c>
      <c r="F20" s="3" t="s">
        <v>554</v>
      </c>
      <c r="G20" s="3" t="s">
        <v>555</v>
      </c>
      <c r="H20" s="3" t="s">
        <v>556</v>
      </c>
      <c r="I20" s="3" t="s">
        <v>557</v>
      </c>
      <c r="J20" s="3" t="s">
        <v>558</v>
      </c>
      <c r="K20" s="3" t="s">
        <v>559</v>
      </c>
      <c r="L20" s="3" t="s">
        <v>560</v>
      </c>
      <c r="M20" s="3" t="s">
        <v>561</v>
      </c>
      <c r="N20" s="3" t="s">
        <v>562</v>
      </c>
      <c r="O20" s="3" t="s">
        <v>563</v>
      </c>
      <c r="P20" s="3" t="s">
        <v>564</v>
      </c>
      <c r="Q20" s="3" t="s">
        <v>565</v>
      </c>
      <c r="R20" s="3" t="s">
        <v>582</v>
      </c>
      <c r="S20" s="3" t="s">
        <v>59</v>
      </c>
      <c r="T20" s="3" t="s">
        <v>366</v>
      </c>
      <c r="U20" s="3" t="s">
        <v>273</v>
      </c>
      <c r="V20" s="3" t="s">
        <v>581</v>
      </c>
      <c r="W20" s="3" t="s">
        <v>274</v>
      </c>
      <c r="X20" s="3" t="s">
        <v>583</v>
      </c>
      <c r="Y20" s="3" t="s">
        <v>584</v>
      </c>
      <c r="Z20" s="3" t="s">
        <v>585</v>
      </c>
      <c r="AA20" s="3" t="s">
        <v>586</v>
      </c>
      <c r="AB20" s="3" t="s">
        <v>587</v>
      </c>
      <c r="AC20" s="3" t="s">
        <v>588</v>
      </c>
      <c r="AD20" s="3" t="s">
        <v>589</v>
      </c>
      <c r="AE20" s="3" t="s">
        <v>590</v>
      </c>
      <c r="AF20" t="s">
        <v>60</v>
      </c>
      <c r="AG20" t="s">
        <v>580</v>
      </c>
      <c r="AH20" t="s">
        <v>59</v>
      </c>
      <c r="AI20" t="s">
        <v>366</v>
      </c>
      <c r="AJ20" t="s">
        <v>273</v>
      </c>
      <c r="AK20" t="s">
        <v>581</v>
      </c>
      <c r="AL20" t="s">
        <v>274</v>
      </c>
      <c r="AM20" t="s">
        <v>582</v>
      </c>
      <c r="AN20" t="s">
        <v>583</v>
      </c>
      <c r="AO20" t="s">
        <v>584</v>
      </c>
      <c r="AP20" t="s">
        <v>585</v>
      </c>
      <c r="AQ20" t="s">
        <v>586</v>
      </c>
      <c r="AR20" t="s">
        <v>587</v>
      </c>
      <c r="AS20" t="s">
        <v>588</v>
      </c>
      <c r="AT20" t="s">
        <v>589</v>
      </c>
      <c r="AU20" t="s">
        <v>590</v>
      </c>
      <c r="AV20" t="s">
        <v>60</v>
      </c>
      <c r="AW20" t="s">
        <v>750</v>
      </c>
      <c r="AX20" t="s">
        <v>275</v>
      </c>
      <c r="AY20" t="s">
        <v>59</v>
      </c>
      <c r="AZ20" t="s">
        <v>581</v>
      </c>
      <c r="BA20" t="s">
        <v>751</v>
      </c>
      <c r="BB20" t="s">
        <v>752</v>
      </c>
      <c r="BC20" t="s">
        <v>753</v>
      </c>
    </row>
    <row r="21" spans="1:55">
      <c r="A21" s="3" t="s">
        <v>90</v>
      </c>
      <c r="B21" s="3" t="s">
        <v>635</v>
      </c>
      <c r="C21" s="2" t="s">
        <v>634</v>
      </c>
      <c r="D21" s="3" t="s">
        <v>636</v>
      </c>
      <c r="E21" s="3" t="s">
        <v>637</v>
      </c>
      <c r="F21" s="3" t="s">
        <v>638</v>
      </c>
      <c r="G21" s="3" t="s">
        <v>639</v>
      </c>
      <c r="H21" s="3" t="s">
        <v>446</v>
      </c>
      <c r="I21" s="3" t="s">
        <v>640</v>
      </c>
      <c r="J21" s="3" t="s">
        <v>641</v>
      </c>
      <c r="K21" s="3" t="s">
        <v>642</v>
      </c>
      <c r="L21" s="3" t="s">
        <v>643</v>
      </c>
      <c r="M21" s="3" t="s">
        <v>644</v>
      </c>
      <c r="N21" s="3" t="s">
        <v>645</v>
      </c>
      <c r="O21" s="3" t="s">
        <v>646</v>
      </c>
      <c r="P21" s="3" t="s">
        <v>647</v>
      </c>
      <c r="Q21" s="3" t="s">
        <v>648</v>
      </c>
      <c r="R21" s="3" t="s">
        <v>56</v>
      </c>
      <c r="S21" s="3" t="s">
        <v>592</v>
      </c>
      <c r="T21" s="3" t="s">
        <v>593</v>
      </c>
      <c r="U21" s="3" t="s">
        <v>594</v>
      </c>
      <c r="V21" s="3" t="s">
        <v>595</v>
      </c>
      <c r="W21" s="3" t="s">
        <v>596</v>
      </c>
      <c r="X21" s="3" t="s">
        <v>597</v>
      </c>
      <c r="Y21" s="3" t="s">
        <v>598</v>
      </c>
      <c r="Z21" s="3" t="s">
        <v>599</v>
      </c>
      <c r="AA21" s="3" t="s">
        <v>600</v>
      </c>
      <c r="AB21" s="3" t="s">
        <v>601</v>
      </c>
      <c r="AC21" s="3" t="s">
        <v>602</v>
      </c>
      <c r="AD21" s="3" t="s">
        <v>603</v>
      </c>
      <c r="AE21" s="3" t="s">
        <v>604</v>
      </c>
      <c r="AF21" t="s">
        <v>68</v>
      </c>
      <c r="AG21" t="s">
        <v>591</v>
      </c>
      <c r="AH21" t="s">
        <v>56</v>
      </c>
      <c r="AI21" t="s">
        <v>592</v>
      </c>
      <c r="AJ21" t="s">
        <v>593</v>
      </c>
      <c r="AK21" t="s">
        <v>594</v>
      </c>
      <c r="AL21" t="s">
        <v>595</v>
      </c>
      <c r="AM21" t="s">
        <v>596</v>
      </c>
      <c r="AN21" t="s">
        <v>597</v>
      </c>
      <c r="AO21" t="s">
        <v>598</v>
      </c>
      <c r="AP21" t="s">
        <v>599</v>
      </c>
      <c r="AQ21" t="s">
        <v>600</v>
      </c>
      <c r="AR21" t="s">
        <v>601</v>
      </c>
      <c r="AS21" t="s">
        <v>602</v>
      </c>
      <c r="AT21" t="s">
        <v>603</v>
      </c>
      <c r="AU21" t="s">
        <v>604</v>
      </c>
      <c r="AV21" t="s">
        <v>68</v>
      </c>
      <c r="AW21" t="s">
        <v>754</v>
      </c>
      <c r="AX21" t="s">
        <v>56</v>
      </c>
      <c r="AY21" t="s">
        <v>598</v>
      </c>
      <c r="AZ21" t="s">
        <v>596</v>
      </c>
      <c r="BA21" t="s">
        <v>755</v>
      </c>
      <c r="BB21" t="s">
        <v>756</v>
      </c>
      <c r="BC21" t="s">
        <v>757</v>
      </c>
    </row>
    <row r="22" spans="1:55">
      <c r="A22" s="3" t="s">
        <v>91</v>
      </c>
      <c r="B22" s="3" t="s">
        <v>427</v>
      </c>
      <c r="C22" s="2" t="s">
        <v>58</v>
      </c>
      <c r="D22" s="3" t="s">
        <v>428</v>
      </c>
      <c r="E22" s="3" t="s">
        <v>437</v>
      </c>
      <c r="F22" s="3" t="s">
        <v>441</v>
      </c>
      <c r="G22" s="3" t="s">
        <v>429</v>
      </c>
      <c r="H22" s="3" t="s">
        <v>432</v>
      </c>
      <c r="I22" s="3" t="s">
        <v>433</v>
      </c>
      <c r="J22" s="3" t="s">
        <v>434</v>
      </c>
      <c r="K22" s="3" t="s">
        <v>435</v>
      </c>
      <c r="L22" s="3" t="s">
        <v>436</v>
      </c>
      <c r="M22" s="3" t="s">
        <v>430</v>
      </c>
      <c r="N22" s="3" t="s">
        <v>439</v>
      </c>
      <c r="O22" s="3" t="s">
        <v>440</v>
      </c>
      <c r="P22" s="3" t="s">
        <v>431</v>
      </c>
      <c r="Q22" s="3" t="s">
        <v>438</v>
      </c>
      <c r="R22" s="3" t="s">
        <v>606</v>
      </c>
      <c r="S22" s="3" t="s">
        <v>607</v>
      </c>
      <c r="T22" s="3" t="s">
        <v>608</v>
      </c>
      <c r="U22" s="3" t="s">
        <v>609</v>
      </c>
      <c r="V22" s="3" t="s">
        <v>610</v>
      </c>
      <c r="W22" s="3" t="s">
        <v>611</v>
      </c>
      <c r="X22" s="3" t="s">
        <v>612</v>
      </c>
      <c r="Y22" s="3" t="s">
        <v>613</v>
      </c>
      <c r="Z22" s="3" t="s">
        <v>614</v>
      </c>
      <c r="AA22" s="3" t="s">
        <v>615</v>
      </c>
      <c r="AB22" s="3" t="s">
        <v>616</v>
      </c>
      <c r="AC22" s="3" t="s">
        <v>617</v>
      </c>
      <c r="AD22" s="3" t="s">
        <v>618</v>
      </c>
      <c r="AE22" s="3" t="s">
        <v>619</v>
      </c>
      <c r="AF22" t="s">
        <v>65</v>
      </c>
      <c r="AG22" t="s">
        <v>605</v>
      </c>
      <c r="AH22" t="s">
        <v>606</v>
      </c>
      <c r="AI22" t="s">
        <v>607</v>
      </c>
      <c r="AJ22" t="s">
        <v>608</v>
      </c>
      <c r="AK22" t="s">
        <v>609</v>
      </c>
      <c r="AL22" t="s">
        <v>610</v>
      </c>
      <c r="AM22" t="s">
        <v>611</v>
      </c>
      <c r="AN22" t="s">
        <v>612</v>
      </c>
      <c r="AO22" t="s">
        <v>613</v>
      </c>
      <c r="AP22" t="s">
        <v>614</v>
      </c>
      <c r="AQ22" t="s">
        <v>615</v>
      </c>
      <c r="AR22" t="s">
        <v>616</v>
      </c>
      <c r="AS22" t="s">
        <v>617</v>
      </c>
      <c r="AT22" t="s">
        <v>618</v>
      </c>
      <c r="AU22" t="s">
        <v>619</v>
      </c>
      <c r="AV22" t="s">
        <v>680</v>
      </c>
      <c r="AW22" t="s">
        <v>758</v>
      </c>
      <c r="AX22" t="s">
        <v>759</v>
      </c>
      <c r="AY22" t="s">
        <v>760</v>
      </c>
      <c r="AZ22" t="s">
        <v>608</v>
      </c>
      <c r="BA22" t="s">
        <v>761</v>
      </c>
      <c r="BB22" t="s">
        <v>617</v>
      </c>
      <c r="BC22" t="s">
        <v>762</v>
      </c>
    </row>
    <row r="23" spans="1:55">
      <c r="A23" s="3" t="s">
        <v>91</v>
      </c>
      <c r="B23" s="3" t="s">
        <v>490</v>
      </c>
      <c r="C23" s="2" t="s">
        <v>63</v>
      </c>
      <c r="D23" s="3" t="s">
        <v>500</v>
      </c>
      <c r="E23" s="3" t="s">
        <v>360</v>
      </c>
      <c r="F23" s="3" t="s">
        <v>296</v>
      </c>
      <c r="G23" s="3" t="s">
        <v>300</v>
      </c>
      <c r="H23" s="3" t="s">
        <v>297</v>
      </c>
      <c r="I23" s="3" t="s">
        <v>491</v>
      </c>
      <c r="J23" s="3" t="s">
        <v>492</v>
      </c>
      <c r="K23" s="3" t="s">
        <v>493</v>
      </c>
      <c r="L23" s="3" t="s">
        <v>494</v>
      </c>
      <c r="M23" s="3" t="s">
        <v>495</v>
      </c>
      <c r="N23" s="3" t="s">
        <v>496</v>
      </c>
      <c r="O23" s="3" t="s">
        <v>497</v>
      </c>
      <c r="P23" s="3" t="s">
        <v>498</v>
      </c>
      <c r="Q23" s="3" t="s">
        <v>499</v>
      </c>
      <c r="R23" s="3" t="s">
        <v>278</v>
      </c>
      <c r="S23" s="3" t="s">
        <v>684</v>
      </c>
      <c r="T23" s="3" t="s">
        <v>622</v>
      </c>
      <c r="U23" s="3" t="s">
        <v>623</v>
      </c>
      <c r="V23" s="3" t="s">
        <v>624</v>
      </c>
      <c r="W23" s="3" t="s">
        <v>625</v>
      </c>
      <c r="X23" s="3" t="s">
        <v>626</v>
      </c>
      <c r="Y23" s="3" t="s">
        <v>627</v>
      </c>
      <c r="Z23" s="3" t="s">
        <v>628</v>
      </c>
      <c r="AA23" s="3" t="s">
        <v>629</v>
      </c>
      <c r="AB23" s="3" t="s">
        <v>630</v>
      </c>
      <c r="AC23" s="3" t="s">
        <v>631</v>
      </c>
      <c r="AD23" s="3" t="s">
        <v>632</v>
      </c>
      <c r="AE23" s="3" t="s">
        <v>633</v>
      </c>
      <c r="AF23" t="s">
        <v>57</v>
      </c>
      <c r="AG23" t="s">
        <v>620</v>
      </c>
      <c r="AH23" t="s">
        <v>621</v>
      </c>
      <c r="AI23" t="s">
        <v>278</v>
      </c>
      <c r="AJ23" t="s">
        <v>622</v>
      </c>
      <c r="AK23" t="s">
        <v>623</v>
      </c>
      <c r="AL23" t="s">
        <v>624</v>
      </c>
      <c r="AM23" t="s">
        <v>625</v>
      </c>
      <c r="AN23" t="s">
        <v>626</v>
      </c>
      <c r="AO23" t="s">
        <v>627</v>
      </c>
      <c r="AP23" t="s">
        <v>628</v>
      </c>
      <c r="AQ23" t="s">
        <v>629</v>
      </c>
      <c r="AR23" t="s">
        <v>630</v>
      </c>
      <c r="AS23" t="s">
        <v>631</v>
      </c>
      <c r="AT23" t="s">
        <v>632</v>
      </c>
      <c r="AU23" t="s">
        <v>633</v>
      </c>
      <c r="AV23" t="s">
        <v>57</v>
      </c>
      <c r="AW23" t="s">
        <v>684</v>
      </c>
      <c r="AX23" t="s">
        <v>278</v>
      </c>
      <c r="AY23" t="s">
        <v>627</v>
      </c>
      <c r="AZ23" t="s">
        <v>763</v>
      </c>
      <c r="BA23" t="s">
        <v>622</v>
      </c>
      <c r="BB23" t="s">
        <v>764</v>
      </c>
      <c r="BC23" t="s">
        <v>765</v>
      </c>
    </row>
    <row r="24" spans="1:55">
      <c r="A24" s="3" t="s">
        <v>91</v>
      </c>
      <c r="B24" s="3" t="s">
        <v>566</v>
      </c>
      <c r="C24" s="2" t="s">
        <v>66</v>
      </c>
      <c r="D24" s="3" t="s">
        <v>567</v>
      </c>
      <c r="E24" s="3" t="s">
        <v>568</v>
      </c>
      <c r="F24" s="3" t="s">
        <v>569</v>
      </c>
      <c r="G24" s="3" t="s">
        <v>570</v>
      </c>
      <c r="H24" s="3" t="s">
        <v>571</v>
      </c>
      <c r="I24" s="3" t="s">
        <v>572</v>
      </c>
      <c r="J24" s="3" t="s">
        <v>573</v>
      </c>
      <c r="K24" s="3" t="s">
        <v>574</v>
      </c>
      <c r="L24" s="3" t="s">
        <v>575</v>
      </c>
      <c r="M24" s="3" t="s">
        <v>258</v>
      </c>
      <c r="N24" s="3" t="s">
        <v>576</v>
      </c>
      <c r="O24" s="3" t="s">
        <v>577</v>
      </c>
      <c r="P24" s="3" t="s">
        <v>578</v>
      </c>
      <c r="Q24" s="3" t="s">
        <v>579</v>
      </c>
      <c r="R24" s="3" t="s">
        <v>639</v>
      </c>
      <c r="S24" s="3" t="s">
        <v>645</v>
      </c>
      <c r="T24" s="3" t="s">
        <v>637</v>
      </c>
      <c r="U24" s="3" t="s">
        <v>636</v>
      </c>
      <c r="V24" s="3" t="s">
        <v>638</v>
      </c>
      <c r="W24" s="3" t="s">
        <v>446</v>
      </c>
      <c r="X24" s="3" t="s">
        <v>640</v>
      </c>
      <c r="Y24" s="3" t="s">
        <v>641</v>
      </c>
      <c r="Z24" s="3" t="s">
        <v>642</v>
      </c>
      <c r="AA24" s="3" t="s">
        <v>643</v>
      </c>
      <c r="AB24" s="3" t="s">
        <v>644</v>
      </c>
      <c r="AC24" s="3" t="s">
        <v>646</v>
      </c>
      <c r="AD24" s="3" t="s">
        <v>647</v>
      </c>
      <c r="AE24" s="3" t="s">
        <v>648</v>
      </c>
      <c r="AF24" t="s">
        <v>634</v>
      </c>
      <c r="AG24" t="s">
        <v>635</v>
      </c>
      <c r="AH24" t="s">
        <v>636</v>
      </c>
      <c r="AI24" t="s">
        <v>637</v>
      </c>
      <c r="AJ24" t="s">
        <v>638</v>
      </c>
      <c r="AK24" t="s">
        <v>639</v>
      </c>
      <c r="AL24" t="s">
        <v>446</v>
      </c>
      <c r="AM24" t="s">
        <v>640</v>
      </c>
      <c r="AN24" t="s">
        <v>641</v>
      </c>
      <c r="AO24" t="s">
        <v>642</v>
      </c>
      <c r="AP24" t="s">
        <v>643</v>
      </c>
      <c r="AQ24" t="s">
        <v>644</v>
      </c>
      <c r="AR24" t="s">
        <v>645</v>
      </c>
      <c r="AS24" t="s">
        <v>646</v>
      </c>
      <c r="AT24" t="s">
        <v>647</v>
      </c>
      <c r="AU24" t="s">
        <v>648</v>
      </c>
      <c r="AV24" t="s">
        <v>634</v>
      </c>
      <c r="AW24" t="s">
        <v>766</v>
      </c>
      <c r="AX24" t="s">
        <v>767</v>
      </c>
      <c r="AY24" t="s">
        <v>636</v>
      </c>
      <c r="AZ24" t="s">
        <v>768</v>
      </c>
      <c r="BA24" t="s">
        <v>769</v>
      </c>
      <c r="BB24" t="s">
        <v>770</v>
      </c>
      <c r="BC24" t="s">
        <v>771</v>
      </c>
    </row>
    <row r="25" spans="1:55">
      <c r="A25" s="3" t="s">
        <v>91</v>
      </c>
      <c r="B25" s="3" t="s">
        <v>649</v>
      </c>
      <c r="C25" s="2" t="s">
        <v>82</v>
      </c>
      <c r="D25" s="3" t="s">
        <v>650</v>
      </c>
      <c r="E25" s="3" t="s">
        <v>651</v>
      </c>
      <c r="F25" s="3" t="s">
        <v>652</v>
      </c>
      <c r="G25" s="3" t="s">
        <v>653</v>
      </c>
      <c r="H25" s="3" t="s">
        <v>654</v>
      </c>
      <c r="I25" s="3" t="s">
        <v>655</v>
      </c>
      <c r="J25" s="3" t="s">
        <v>656</v>
      </c>
      <c r="K25" s="3" t="s">
        <v>657</v>
      </c>
      <c r="L25" s="3" t="s">
        <v>658</v>
      </c>
      <c r="M25" s="3" t="s">
        <v>659</v>
      </c>
      <c r="N25" s="3" t="s">
        <v>660</v>
      </c>
      <c r="O25" s="3" t="s">
        <v>661</v>
      </c>
      <c r="P25" s="3" t="s">
        <v>662</v>
      </c>
      <c r="Q25" s="3" t="s">
        <v>663</v>
      </c>
      <c r="R25" s="3" t="s">
        <v>655</v>
      </c>
      <c r="S25" s="3" t="s">
        <v>650</v>
      </c>
      <c r="T25" s="3" t="s">
        <v>661</v>
      </c>
      <c r="U25" s="3" t="s">
        <v>651</v>
      </c>
      <c r="V25" s="3" t="s">
        <v>652</v>
      </c>
      <c r="W25" s="3" t="s">
        <v>653</v>
      </c>
      <c r="X25" s="3" t="s">
        <v>654</v>
      </c>
      <c r="Y25" s="3" t="s">
        <v>656</v>
      </c>
      <c r="Z25" s="3" t="s">
        <v>657</v>
      </c>
      <c r="AA25" s="3" t="s">
        <v>658</v>
      </c>
      <c r="AB25" s="3" t="s">
        <v>659</v>
      </c>
      <c r="AC25" s="3" t="s">
        <v>660</v>
      </c>
      <c r="AD25" s="3" t="s">
        <v>662</v>
      </c>
      <c r="AE25" s="3" t="s">
        <v>663</v>
      </c>
      <c r="AF25" t="s">
        <v>82</v>
      </c>
      <c r="AG25" t="s">
        <v>649</v>
      </c>
      <c r="AH25" t="s">
        <v>650</v>
      </c>
      <c r="AI25" t="s">
        <v>651</v>
      </c>
      <c r="AJ25" t="s">
        <v>652</v>
      </c>
      <c r="AK25" t="s">
        <v>653</v>
      </c>
      <c r="AL25" t="s">
        <v>654</v>
      </c>
      <c r="AM25" t="s">
        <v>655</v>
      </c>
      <c r="AN25" t="s">
        <v>656</v>
      </c>
      <c r="AO25" t="s">
        <v>657</v>
      </c>
      <c r="AP25" t="s">
        <v>658</v>
      </c>
      <c r="AQ25" t="s">
        <v>659</v>
      </c>
      <c r="AR25" t="s">
        <v>660</v>
      </c>
      <c r="AS25" t="s">
        <v>661</v>
      </c>
      <c r="AT25" t="s">
        <v>662</v>
      </c>
      <c r="AU25" t="s">
        <v>663</v>
      </c>
      <c r="AV25" t="s">
        <v>82</v>
      </c>
      <c r="AW25" t="s">
        <v>650</v>
      </c>
      <c r="AX25" t="s">
        <v>772</v>
      </c>
      <c r="AY25" t="s">
        <v>773</v>
      </c>
      <c r="AZ25" t="s">
        <v>445</v>
      </c>
      <c r="BA25" t="s">
        <v>774</v>
      </c>
      <c r="BB25" t="s">
        <v>652</v>
      </c>
      <c r="BC25" t="s">
        <v>775</v>
      </c>
    </row>
    <row r="31" spans="1:55">
      <c r="R31" s="3"/>
      <c r="S31" s="3"/>
      <c r="T31" s="3"/>
    </row>
    <row r="32" spans="1:55">
      <c r="R32" s="3"/>
      <c r="S32" s="3"/>
      <c r="T32" s="3"/>
      <c r="U32" s="3"/>
    </row>
    <row r="33" spans="1:22">
      <c r="A33" s="3"/>
      <c r="B33" s="3"/>
      <c r="C33" s="2"/>
      <c r="D33" s="3"/>
      <c r="F33" s="3"/>
      <c r="G33" s="3"/>
      <c r="I33" s="3"/>
      <c r="J33" s="3"/>
      <c r="K33" s="3"/>
      <c r="L33" s="3"/>
      <c r="M33" s="3"/>
      <c r="N33" s="3"/>
      <c r="O33" s="3"/>
      <c r="P33" s="3"/>
      <c r="R33" s="3"/>
      <c r="S33" s="3"/>
      <c r="T33" s="3"/>
      <c r="U33" s="3"/>
    </row>
    <row r="34" spans="1:22">
      <c r="A34" s="3"/>
      <c r="B34" s="3"/>
      <c r="C34" s="2"/>
      <c r="D34" s="3"/>
      <c r="F34" s="3"/>
      <c r="G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2">
      <c r="A35" s="3"/>
      <c r="B35" s="3"/>
      <c r="C35" s="2"/>
      <c r="D35" s="3"/>
      <c r="F35" s="3"/>
      <c r="G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2">
      <c r="A36" s="3"/>
      <c r="B36" s="3"/>
      <c r="C36" s="2"/>
      <c r="D36" s="3"/>
      <c r="F36" s="3"/>
      <c r="G36" s="3"/>
      <c r="K36" s="3"/>
      <c r="L36" s="3"/>
      <c r="M36" s="3"/>
      <c r="N36" s="3"/>
      <c r="O36" s="3"/>
      <c r="P36" s="3"/>
      <c r="Q36" s="3"/>
    </row>
    <row r="37" spans="1:22">
      <c r="A37" s="3"/>
      <c r="B37" s="3"/>
      <c r="C37" s="2"/>
      <c r="D37" s="3"/>
      <c r="F37" s="3"/>
      <c r="G37" s="3"/>
      <c r="I37" s="3"/>
      <c r="K37" s="3"/>
      <c r="M37" s="3"/>
      <c r="N37" s="3"/>
      <c r="O37" s="3"/>
      <c r="P37" s="3"/>
      <c r="Q37" s="3"/>
      <c r="R37" s="3"/>
      <c r="S37" s="3"/>
      <c r="T37" s="3"/>
    </row>
    <row r="38" spans="1:22">
      <c r="A38" s="3"/>
      <c r="B38" s="3"/>
      <c r="C38" s="2"/>
      <c r="D38" s="3"/>
      <c r="F38" s="3"/>
      <c r="G38" s="3"/>
      <c r="I38" s="3"/>
      <c r="J38" s="3"/>
      <c r="K38" s="3"/>
      <c r="L38" s="3"/>
      <c r="N38" s="3"/>
      <c r="O38" s="3"/>
      <c r="P38" s="3"/>
      <c r="R38" s="3"/>
      <c r="S38" s="3"/>
    </row>
    <row r="39" spans="1:22">
      <c r="R39" s="3"/>
      <c r="S39" s="3"/>
      <c r="T39" s="3"/>
    </row>
    <row r="40" spans="1:22">
      <c r="A40" s="3"/>
      <c r="B40" s="3"/>
      <c r="C40" s="2"/>
      <c r="D40" s="3"/>
      <c r="F40" s="3"/>
      <c r="G40" s="3"/>
      <c r="I40" s="3"/>
      <c r="J40" s="3"/>
      <c r="L40" s="3"/>
      <c r="N40" s="3"/>
      <c r="O40" s="3"/>
      <c r="P40" s="3"/>
      <c r="Q40" s="3"/>
      <c r="R40" s="3"/>
      <c r="S40" s="3"/>
      <c r="T40" s="3"/>
      <c r="U40" s="3"/>
    </row>
    <row r="41" spans="1:22">
      <c r="A41" s="3"/>
      <c r="B41" s="3"/>
      <c r="C41" s="2"/>
      <c r="D41" s="3"/>
      <c r="F41" s="3"/>
      <c r="G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2">
      <c r="A42" s="3"/>
      <c r="B42" s="3"/>
      <c r="C42" s="2"/>
      <c r="D42" s="3"/>
      <c r="F42" s="3"/>
      <c r="G42" s="3"/>
      <c r="I42" s="3"/>
      <c r="J42" s="3"/>
      <c r="K42" s="3"/>
      <c r="L42" s="3"/>
      <c r="M42" s="3"/>
      <c r="N42" s="3"/>
      <c r="Q42" s="3"/>
      <c r="R42" s="3"/>
      <c r="S42" s="3"/>
      <c r="T42" s="3"/>
      <c r="U42" s="3"/>
    </row>
    <row r="43" spans="1:22">
      <c r="A43" s="3"/>
      <c r="B43" s="3"/>
      <c r="C43" s="2"/>
      <c r="D43" s="3"/>
      <c r="I43" s="3"/>
      <c r="J43" s="3"/>
      <c r="K43" s="3"/>
      <c r="L43" s="3"/>
      <c r="M43" s="3"/>
      <c r="N43" s="3"/>
      <c r="O43" s="3"/>
      <c r="P43" s="3"/>
      <c r="Q43" s="3"/>
    </row>
    <row r="44" spans="1:22">
      <c r="A44" s="3"/>
      <c r="B44" s="3"/>
      <c r="C44" s="2"/>
      <c r="D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2">
      <c r="A45" s="3"/>
      <c r="B45" s="3"/>
      <c r="C45" s="2"/>
      <c r="D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2">
      <c r="R46" s="3"/>
      <c r="S46" s="3"/>
      <c r="T46" s="3"/>
      <c r="U46" s="3"/>
      <c r="V46" s="3"/>
    </row>
    <row r="47" spans="1:22">
      <c r="A47" s="3"/>
      <c r="B47" s="3"/>
      <c r="C47" s="2"/>
      <c r="D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2">
      <c r="A48" s="3"/>
      <c r="B48" s="3"/>
      <c r="C48" s="2"/>
      <c r="D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>
      <c r="A49" s="3"/>
      <c r="B49" s="3"/>
      <c r="C49" s="2"/>
      <c r="D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/>
      <c r="B50" s="3"/>
      <c r="C50" s="2"/>
      <c r="D50" s="3"/>
      <c r="I50" s="3"/>
      <c r="J50" s="3"/>
      <c r="K50" s="3"/>
      <c r="L50" s="3"/>
      <c r="M50" s="3"/>
      <c r="N50" s="3"/>
      <c r="O50" s="3"/>
      <c r="P50" s="3"/>
      <c r="Q50" s="3"/>
    </row>
    <row r="51" spans="1:21">
      <c r="A51" s="3"/>
      <c r="B51" s="3"/>
      <c r="C51" s="2"/>
      <c r="D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/>
      <c r="B52" s="3"/>
      <c r="C52" s="2"/>
      <c r="D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R53" s="3"/>
      <c r="S53" s="3"/>
      <c r="T53" s="3"/>
      <c r="U53" s="3"/>
    </row>
    <row r="54" spans="1:21">
      <c r="A54" s="3"/>
      <c r="B54" s="3"/>
      <c r="C54" s="2"/>
      <c r="D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>
      <c r="A55" s="3"/>
      <c r="B55" s="3"/>
      <c r="C55" s="2"/>
      <c r="D55" s="3"/>
      <c r="I55" s="3"/>
      <c r="J55" s="3"/>
      <c r="K55" s="3"/>
      <c r="L55" s="3"/>
      <c r="M55" s="3"/>
      <c r="N55" s="3"/>
      <c r="O55" s="3"/>
      <c r="P55" s="3"/>
      <c r="Q55" s="3"/>
      <c r="S55" s="3"/>
      <c r="T55" s="3"/>
      <c r="U55" s="3"/>
    </row>
    <row r="56" spans="1:21">
      <c r="A56" s="3"/>
      <c r="B56" s="3"/>
      <c r="C56" s="2"/>
      <c r="D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</row>
    <row r="57" spans="1:21">
      <c r="A57" s="3"/>
      <c r="B57" s="3"/>
      <c r="C57" s="2"/>
      <c r="D57" s="3"/>
      <c r="F57" s="3"/>
      <c r="J57" s="3"/>
      <c r="K57" s="3"/>
      <c r="L57" s="3"/>
      <c r="M57" s="3"/>
      <c r="N57" s="3"/>
      <c r="O57" s="3"/>
      <c r="P57" s="3"/>
      <c r="Q57" s="3"/>
    </row>
    <row r="58" spans="1:21">
      <c r="A58" s="3"/>
      <c r="B58" s="3"/>
      <c r="C58" s="2"/>
      <c r="D58" s="3"/>
      <c r="F58" s="3"/>
      <c r="G58" s="3"/>
      <c r="I58" s="3"/>
      <c r="K58" s="3"/>
      <c r="L58" s="3"/>
      <c r="M58" s="3"/>
      <c r="N58" s="3"/>
      <c r="O58" s="3"/>
      <c r="P58" s="3"/>
      <c r="Q58" s="3"/>
    </row>
    <row r="59" spans="1:21">
      <c r="A59" s="3"/>
      <c r="B59" s="3"/>
      <c r="C59" s="2"/>
      <c r="D59" s="3"/>
      <c r="F59" s="3"/>
      <c r="G59" s="3"/>
      <c r="J59" s="3"/>
      <c r="K59" s="3"/>
      <c r="L59" s="3"/>
      <c r="M59" s="3"/>
      <c r="N59" s="3"/>
      <c r="O59" s="3"/>
      <c r="P59" s="3"/>
      <c r="Q59" s="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7A5-E618-4658-AE99-F487FD4640D2}">
  <dimension ref="B2:C31"/>
  <sheetViews>
    <sheetView workbookViewId="0">
      <selection activeCell="F34" sqref="F34"/>
    </sheetView>
  </sheetViews>
  <sheetFormatPr defaultRowHeight="14.5"/>
  <sheetData>
    <row r="2" spans="2:2">
      <c r="B2" t="s">
        <v>146</v>
      </c>
    </row>
    <row r="3" spans="2:2">
      <c r="B3" t="s">
        <v>322</v>
      </c>
    </row>
    <row r="4" spans="2:2">
      <c r="B4" t="s">
        <v>323</v>
      </c>
    </row>
    <row r="5" spans="2:2">
      <c r="B5" t="s">
        <v>324</v>
      </c>
    </row>
    <row r="6" spans="2:2">
      <c r="B6" t="s">
        <v>245</v>
      </c>
    </row>
    <row r="7" spans="2:2">
      <c r="B7" t="s">
        <v>325</v>
      </c>
    </row>
    <row r="8" spans="2:2">
      <c r="B8" t="s">
        <v>326</v>
      </c>
    </row>
    <row r="9" spans="2:2">
      <c r="B9" t="s">
        <v>327</v>
      </c>
    </row>
    <row r="10" spans="2:2">
      <c r="B10" t="s">
        <v>328</v>
      </c>
    </row>
    <row r="20" spans="2:3">
      <c r="B20">
        <v>1</v>
      </c>
      <c r="C20" t="s">
        <v>146</v>
      </c>
    </row>
    <row r="22" spans="2:3">
      <c r="B22">
        <v>2</v>
      </c>
      <c r="C22" t="s">
        <v>329</v>
      </c>
    </row>
    <row r="23" spans="2:3">
      <c r="B23">
        <v>3</v>
      </c>
      <c r="C23" t="s">
        <v>330</v>
      </c>
    </row>
    <row r="25" spans="2:3">
      <c r="B25">
        <v>4</v>
      </c>
      <c r="C25" t="s">
        <v>331</v>
      </c>
    </row>
    <row r="26" spans="2:3">
      <c r="B26">
        <v>5</v>
      </c>
      <c r="C26" t="s">
        <v>332</v>
      </c>
    </row>
    <row r="28" spans="2:3">
      <c r="B28">
        <v>6</v>
      </c>
      <c r="C28" t="s">
        <v>326</v>
      </c>
    </row>
    <row r="29" spans="2:3">
      <c r="B29">
        <v>7</v>
      </c>
      <c r="C29" t="s">
        <v>333</v>
      </c>
    </row>
    <row r="31" spans="2:3">
      <c r="B31">
        <v>8</v>
      </c>
      <c r="C31" t="s">
        <v>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CC11-5723-4CCB-B76C-BB57A0A7A867}">
  <dimension ref="A1:Y172"/>
  <sheetViews>
    <sheetView workbookViewId="0">
      <selection sqref="A1:XFD1048576"/>
    </sheetView>
  </sheetViews>
  <sheetFormatPr defaultRowHeight="14.5"/>
  <cols>
    <col min="1" max="1" width="11" style="3" bestFit="1" customWidth="1"/>
    <col min="2" max="12" width="2.6328125" style="3" customWidth="1"/>
    <col min="13" max="13" width="5" style="2" bestFit="1" customWidth="1"/>
    <col min="14" max="14" width="5.1796875" style="3" bestFit="1" customWidth="1"/>
    <col min="15" max="15" width="7.08984375" style="3" bestFit="1" customWidth="1"/>
    <col min="16" max="16" width="8.1796875" style="3" bestFit="1" customWidth="1"/>
    <col min="17" max="17" width="7.08984375" style="3" bestFit="1" customWidth="1"/>
  </cols>
  <sheetData>
    <row r="1" spans="1:18">
      <c r="C1" s="3" t="s">
        <v>976</v>
      </c>
      <c r="G1" s="3" t="s">
        <v>977</v>
      </c>
      <c r="K1" s="3" t="s">
        <v>6</v>
      </c>
    </row>
    <row r="2" spans="1:18" ht="40">
      <c r="A2" s="60" t="s">
        <v>152</v>
      </c>
      <c r="B2" s="69" t="s">
        <v>14</v>
      </c>
      <c r="C2" s="69" t="s">
        <v>1</v>
      </c>
      <c r="D2" s="69" t="s">
        <v>2</v>
      </c>
      <c r="E2" s="69"/>
      <c r="F2" s="69" t="s">
        <v>14</v>
      </c>
      <c r="G2" s="69" t="s">
        <v>1</v>
      </c>
      <c r="H2" s="69" t="s">
        <v>2</v>
      </c>
      <c r="I2" s="69"/>
      <c r="J2" s="69" t="s">
        <v>14</v>
      </c>
      <c r="K2" s="69" t="s">
        <v>1</v>
      </c>
      <c r="L2" s="69" t="s">
        <v>2</v>
      </c>
      <c r="M2" s="60" t="s">
        <v>156</v>
      </c>
      <c r="N2" s="60" t="s">
        <v>157</v>
      </c>
      <c r="O2" s="60" t="s">
        <v>1086</v>
      </c>
      <c r="P2" s="60" t="s">
        <v>177</v>
      </c>
      <c r="Q2" s="60" t="s">
        <v>153</v>
      </c>
      <c r="R2" s="61" t="s">
        <v>154</v>
      </c>
    </row>
    <row r="3" spans="1:18" s="67" customFormat="1">
      <c r="A3" s="70" t="s">
        <v>145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>
        <v>1</v>
      </c>
      <c r="N3" s="71">
        <v>1</v>
      </c>
      <c r="O3" s="71">
        <v>1001</v>
      </c>
      <c r="P3" s="71">
        <v>2592</v>
      </c>
      <c r="Q3" s="71"/>
      <c r="R3" s="67" t="s">
        <v>155</v>
      </c>
    </row>
    <row r="4" spans="1:18">
      <c r="A4" s="3" t="s">
        <v>146</v>
      </c>
      <c r="M4" s="16">
        <f>M3</f>
        <v>1</v>
      </c>
      <c r="N4" s="3">
        <f>N3+1</f>
        <v>2</v>
      </c>
      <c r="O4" s="3">
        <v>1002</v>
      </c>
      <c r="P4" s="3">
        <v>2596</v>
      </c>
      <c r="R4" t="s">
        <v>158</v>
      </c>
    </row>
    <row r="5" spans="1:18">
      <c r="M5" s="16">
        <f t="shared" ref="M5:M12" si="0">M4</f>
        <v>1</v>
      </c>
      <c r="N5" s="3">
        <f t="shared" ref="N5:N68" si="1">N4+1</f>
        <v>3</v>
      </c>
      <c r="O5" s="3">
        <v>1003</v>
      </c>
      <c r="P5" s="3">
        <v>2598</v>
      </c>
      <c r="R5" t="s">
        <v>159</v>
      </c>
    </row>
    <row r="6" spans="1:18">
      <c r="M6" s="16">
        <f t="shared" si="0"/>
        <v>1</v>
      </c>
      <c r="N6" s="3">
        <f t="shared" si="1"/>
        <v>4</v>
      </c>
      <c r="O6" s="3">
        <v>1004</v>
      </c>
      <c r="P6" s="3">
        <v>2601</v>
      </c>
      <c r="R6" t="s">
        <v>160</v>
      </c>
    </row>
    <row r="7" spans="1:18">
      <c r="M7" s="16">
        <f t="shared" si="0"/>
        <v>1</v>
      </c>
      <c r="N7" s="3">
        <f t="shared" si="1"/>
        <v>5</v>
      </c>
      <c r="O7" s="3">
        <v>1005</v>
      </c>
      <c r="P7" s="3">
        <v>2602</v>
      </c>
      <c r="R7" t="s">
        <v>952</v>
      </c>
    </row>
    <row r="8" spans="1:18">
      <c r="M8" s="16">
        <f t="shared" si="0"/>
        <v>1</v>
      </c>
      <c r="N8" s="3">
        <f t="shared" si="1"/>
        <v>6</v>
      </c>
      <c r="O8" s="3">
        <v>1006</v>
      </c>
      <c r="P8" s="3">
        <v>2603</v>
      </c>
      <c r="R8" t="s">
        <v>954</v>
      </c>
    </row>
    <row r="9" spans="1:18">
      <c r="M9" s="16">
        <f t="shared" si="0"/>
        <v>1</v>
      </c>
      <c r="N9" s="3">
        <f t="shared" si="1"/>
        <v>7</v>
      </c>
      <c r="O9" s="3">
        <v>1007</v>
      </c>
      <c r="P9" s="3">
        <v>4119</v>
      </c>
      <c r="R9" t="s">
        <v>953</v>
      </c>
    </row>
    <row r="10" spans="1:18">
      <c r="M10" s="16">
        <f t="shared" si="0"/>
        <v>1</v>
      </c>
      <c r="N10" s="3">
        <f t="shared" si="1"/>
        <v>8</v>
      </c>
      <c r="O10" s="3">
        <v>1008</v>
      </c>
      <c r="P10" s="3">
        <v>4120</v>
      </c>
      <c r="R10" t="s">
        <v>955</v>
      </c>
    </row>
    <row r="11" spans="1:18">
      <c r="M11" s="16">
        <f t="shared" si="0"/>
        <v>1</v>
      </c>
      <c r="N11" s="3">
        <f t="shared" si="1"/>
        <v>9</v>
      </c>
      <c r="O11" s="3">
        <v>1009</v>
      </c>
      <c r="P11" s="3">
        <v>2984</v>
      </c>
      <c r="R11" t="s">
        <v>163</v>
      </c>
    </row>
    <row r="12" spans="1:18">
      <c r="M12" s="16">
        <f t="shared" si="0"/>
        <v>1</v>
      </c>
      <c r="N12" s="3">
        <f t="shared" si="1"/>
        <v>10</v>
      </c>
      <c r="O12" s="3">
        <v>1010</v>
      </c>
      <c r="P12" s="3">
        <v>2985</v>
      </c>
      <c r="R12" t="s">
        <v>164</v>
      </c>
    </row>
    <row r="13" spans="1:18" s="67" customFormat="1">
      <c r="A13" s="70" t="s">
        <v>147</v>
      </c>
      <c r="B13" s="70"/>
      <c r="C13" s="70"/>
      <c r="D13" s="71">
        <v>1</v>
      </c>
      <c r="E13" s="70"/>
      <c r="F13" s="70"/>
      <c r="G13" s="70"/>
      <c r="H13" s="70"/>
      <c r="I13" s="70"/>
      <c r="J13" s="70"/>
      <c r="K13" s="70"/>
      <c r="L13" s="70"/>
      <c r="M13" s="70">
        <v>2</v>
      </c>
      <c r="N13" s="71">
        <f t="shared" si="1"/>
        <v>11</v>
      </c>
      <c r="O13" s="71"/>
      <c r="P13" s="71"/>
      <c r="Q13" s="71"/>
      <c r="R13" s="67" t="s">
        <v>165</v>
      </c>
    </row>
    <row r="14" spans="1:18">
      <c r="A14" s="3" t="s">
        <v>335</v>
      </c>
      <c r="D14" s="3">
        <v>1</v>
      </c>
      <c r="M14" s="16">
        <v>2</v>
      </c>
      <c r="N14" s="3">
        <f t="shared" si="1"/>
        <v>12</v>
      </c>
      <c r="R14" t="s">
        <v>166</v>
      </c>
    </row>
    <row r="15" spans="1:18">
      <c r="A15" s="3" t="s">
        <v>3</v>
      </c>
      <c r="B15" s="3">
        <v>1</v>
      </c>
      <c r="M15" s="16">
        <v>2</v>
      </c>
      <c r="N15" s="3">
        <f t="shared" si="1"/>
        <v>13</v>
      </c>
      <c r="R15" t="s">
        <v>167</v>
      </c>
    </row>
    <row r="16" spans="1:18">
      <c r="B16" s="3">
        <v>1</v>
      </c>
      <c r="M16" s="2">
        <v>3</v>
      </c>
      <c r="N16" s="3">
        <f>N15+1</f>
        <v>14</v>
      </c>
      <c r="R16" t="s">
        <v>168</v>
      </c>
    </row>
    <row r="17" spans="1:18">
      <c r="C17" s="3">
        <v>1</v>
      </c>
      <c r="M17" s="16">
        <v>3</v>
      </c>
      <c r="N17" s="3">
        <f t="shared" si="1"/>
        <v>15</v>
      </c>
      <c r="R17" t="s">
        <v>169</v>
      </c>
    </row>
    <row r="18" spans="1:18">
      <c r="B18" s="3">
        <v>1</v>
      </c>
      <c r="M18" s="16">
        <v>3</v>
      </c>
      <c r="N18" s="3">
        <f t="shared" si="1"/>
        <v>16</v>
      </c>
      <c r="R18" t="s">
        <v>170</v>
      </c>
    </row>
    <row r="19" spans="1:18">
      <c r="C19" s="3">
        <v>1</v>
      </c>
      <c r="M19" s="16">
        <v>3</v>
      </c>
      <c r="N19" s="3">
        <f t="shared" si="1"/>
        <v>17</v>
      </c>
      <c r="R19" t="s">
        <v>169</v>
      </c>
    </row>
    <row r="20" spans="1:18">
      <c r="B20" s="3">
        <v>1</v>
      </c>
      <c r="M20" s="16">
        <v>3</v>
      </c>
      <c r="N20" s="3">
        <f t="shared" si="1"/>
        <v>18</v>
      </c>
      <c r="R20" t="s">
        <v>171</v>
      </c>
    </row>
    <row r="21" spans="1:18">
      <c r="C21" s="3">
        <v>1</v>
      </c>
      <c r="M21" s="16">
        <v>3</v>
      </c>
      <c r="N21" s="3">
        <f t="shared" si="1"/>
        <v>19</v>
      </c>
      <c r="R21" t="s">
        <v>169</v>
      </c>
    </row>
    <row r="22" spans="1:18">
      <c r="B22" s="3">
        <v>1</v>
      </c>
      <c r="M22" s="16">
        <v>3</v>
      </c>
      <c r="N22" s="3">
        <f t="shared" si="1"/>
        <v>20</v>
      </c>
      <c r="R22" t="s">
        <v>172</v>
      </c>
    </row>
    <row r="23" spans="1:18">
      <c r="C23" s="3">
        <v>1</v>
      </c>
      <c r="M23" s="16">
        <v>3</v>
      </c>
      <c r="N23" s="3">
        <f t="shared" si="1"/>
        <v>21</v>
      </c>
      <c r="R23" t="s">
        <v>169</v>
      </c>
    </row>
    <row r="24" spans="1:18">
      <c r="B24" s="3">
        <v>1</v>
      </c>
      <c r="M24" s="16">
        <v>3</v>
      </c>
      <c r="N24" s="3">
        <f t="shared" si="1"/>
        <v>22</v>
      </c>
      <c r="R24" t="s">
        <v>175</v>
      </c>
    </row>
    <row r="25" spans="1:18">
      <c r="C25" s="3">
        <v>1</v>
      </c>
      <c r="M25" s="16">
        <v>3</v>
      </c>
      <c r="N25" s="3">
        <f t="shared" si="1"/>
        <v>23</v>
      </c>
      <c r="R25" t="s">
        <v>174</v>
      </c>
    </row>
    <row r="26" spans="1:18">
      <c r="C26" s="3">
        <v>1</v>
      </c>
      <c r="M26" s="2">
        <v>4</v>
      </c>
      <c r="N26" s="3">
        <f>N25+1</f>
        <v>24</v>
      </c>
      <c r="R26" t="s">
        <v>956</v>
      </c>
    </row>
    <row r="27" spans="1:18">
      <c r="C27" s="3">
        <v>1</v>
      </c>
      <c r="M27" s="16">
        <v>4</v>
      </c>
      <c r="N27" s="3">
        <f t="shared" si="1"/>
        <v>25</v>
      </c>
      <c r="R27" t="s">
        <v>957</v>
      </c>
    </row>
    <row r="28" spans="1:18">
      <c r="B28" s="3">
        <v>1</v>
      </c>
      <c r="M28" s="16">
        <v>4</v>
      </c>
      <c r="N28" s="3">
        <f t="shared" si="1"/>
        <v>26</v>
      </c>
      <c r="R28" t="s">
        <v>180</v>
      </c>
    </row>
    <row r="29" spans="1:18">
      <c r="C29" s="3">
        <v>1</v>
      </c>
      <c r="M29" s="16">
        <v>4</v>
      </c>
      <c r="N29" s="3">
        <f t="shared" si="1"/>
        <v>27</v>
      </c>
      <c r="R29" t="s">
        <v>181</v>
      </c>
    </row>
    <row r="30" spans="1:18">
      <c r="B30" s="3">
        <v>1</v>
      </c>
      <c r="M30" s="16">
        <v>4</v>
      </c>
      <c r="N30" s="3">
        <f t="shared" si="1"/>
        <v>28</v>
      </c>
      <c r="R30" t="s">
        <v>182</v>
      </c>
    </row>
    <row r="31" spans="1:18">
      <c r="C31" s="3">
        <v>1</v>
      </c>
      <c r="M31" s="16">
        <v>4</v>
      </c>
      <c r="N31" s="3">
        <f t="shared" si="1"/>
        <v>29</v>
      </c>
      <c r="R31" t="s">
        <v>181</v>
      </c>
    </row>
    <row r="32" spans="1:18" s="67" customFormat="1">
      <c r="A32" s="70" t="s">
        <v>149</v>
      </c>
      <c r="B32" s="71">
        <v>1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>
        <v>5</v>
      </c>
      <c r="N32" s="71">
        <f>N31+1</f>
        <v>30</v>
      </c>
      <c r="O32" s="71"/>
      <c r="P32" s="71"/>
      <c r="Q32" s="71"/>
      <c r="R32" s="67" t="s">
        <v>986</v>
      </c>
    </row>
    <row r="33" spans="1:18">
      <c r="A33" s="3" t="s">
        <v>336</v>
      </c>
      <c r="C33" s="3">
        <v>1</v>
      </c>
      <c r="M33" s="2">
        <v>5</v>
      </c>
      <c r="N33" s="3">
        <f t="shared" si="1"/>
        <v>31</v>
      </c>
      <c r="R33" t="s">
        <v>191</v>
      </c>
    </row>
    <row r="34" spans="1:18">
      <c r="A34" s="3" t="s">
        <v>3</v>
      </c>
      <c r="C34" s="3">
        <v>1</v>
      </c>
      <c r="M34" s="2">
        <v>5</v>
      </c>
      <c r="N34" s="3">
        <f t="shared" si="1"/>
        <v>32</v>
      </c>
      <c r="R34" t="s">
        <v>193</v>
      </c>
    </row>
    <row r="35" spans="1:18">
      <c r="D35" s="3">
        <v>1</v>
      </c>
      <c r="M35" s="2">
        <v>5</v>
      </c>
      <c r="N35" s="3">
        <f t="shared" si="1"/>
        <v>33</v>
      </c>
      <c r="R35" t="s">
        <v>190</v>
      </c>
    </row>
    <row r="36" spans="1:18">
      <c r="B36" s="3">
        <v>1</v>
      </c>
      <c r="C36" s="2"/>
      <c r="D36" s="2"/>
      <c r="M36" s="2">
        <v>5</v>
      </c>
      <c r="N36" s="3">
        <f t="shared" si="1"/>
        <v>34</v>
      </c>
      <c r="R36" t="s">
        <v>986</v>
      </c>
    </row>
    <row r="37" spans="1:18">
      <c r="C37" s="3">
        <v>1</v>
      </c>
      <c r="N37" s="3">
        <f t="shared" si="1"/>
        <v>35</v>
      </c>
      <c r="R37" t="s">
        <v>191</v>
      </c>
    </row>
    <row r="38" spans="1:18">
      <c r="C38" s="3">
        <v>1</v>
      </c>
      <c r="N38" s="3">
        <f t="shared" si="1"/>
        <v>36</v>
      </c>
      <c r="R38" t="s">
        <v>193</v>
      </c>
    </row>
    <row r="39" spans="1:18">
      <c r="D39" s="3">
        <v>1</v>
      </c>
      <c r="N39" s="3">
        <f t="shared" si="1"/>
        <v>37</v>
      </c>
      <c r="R39" t="s">
        <v>190</v>
      </c>
    </row>
    <row r="40" spans="1:18">
      <c r="B40" s="3">
        <v>1</v>
      </c>
      <c r="C40" s="2"/>
      <c r="D40" s="2"/>
      <c r="N40" s="3">
        <f t="shared" si="1"/>
        <v>38</v>
      </c>
      <c r="R40" t="s">
        <v>986</v>
      </c>
    </row>
    <row r="41" spans="1:18">
      <c r="C41" s="3">
        <v>1</v>
      </c>
      <c r="N41" s="3">
        <f t="shared" si="1"/>
        <v>39</v>
      </c>
      <c r="R41" t="s">
        <v>191</v>
      </c>
    </row>
    <row r="42" spans="1:18">
      <c r="C42" s="3">
        <v>1</v>
      </c>
      <c r="N42" s="3">
        <f t="shared" si="1"/>
        <v>40</v>
      </c>
      <c r="R42" t="s">
        <v>193</v>
      </c>
    </row>
    <row r="43" spans="1:18">
      <c r="D43" s="3">
        <v>1</v>
      </c>
      <c r="N43" s="3">
        <f t="shared" si="1"/>
        <v>41</v>
      </c>
      <c r="R43" t="s">
        <v>190</v>
      </c>
    </row>
    <row r="44" spans="1:18">
      <c r="B44" s="3">
        <v>1</v>
      </c>
      <c r="C44" s="2"/>
      <c r="D44" s="2"/>
      <c r="N44" s="3">
        <f t="shared" si="1"/>
        <v>42</v>
      </c>
      <c r="R44" t="s">
        <v>986</v>
      </c>
    </row>
    <row r="45" spans="1:18">
      <c r="C45" s="3">
        <v>1</v>
      </c>
      <c r="N45" s="3">
        <f t="shared" si="1"/>
        <v>43</v>
      </c>
      <c r="R45" t="s">
        <v>191</v>
      </c>
    </row>
    <row r="46" spans="1:18">
      <c r="C46" s="3">
        <v>1</v>
      </c>
      <c r="N46" s="3">
        <f t="shared" si="1"/>
        <v>44</v>
      </c>
      <c r="R46" t="s">
        <v>193</v>
      </c>
    </row>
    <row r="47" spans="1:18">
      <c r="D47" s="3">
        <v>1</v>
      </c>
      <c r="N47" s="3">
        <f t="shared" si="1"/>
        <v>45</v>
      </c>
      <c r="R47" t="s">
        <v>190</v>
      </c>
    </row>
    <row r="48" spans="1:18">
      <c r="B48" s="3">
        <v>1</v>
      </c>
      <c r="C48" s="2"/>
      <c r="D48" s="2"/>
      <c r="N48" s="3">
        <f t="shared" si="1"/>
        <v>46</v>
      </c>
      <c r="R48" t="s">
        <v>986</v>
      </c>
    </row>
    <row r="49" spans="1:18">
      <c r="C49" s="3">
        <v>1</v>
      </c>
      <c r="N49" s="3">
        <f t="shared" si="1"/>
        <v>47</v>
      </c>
      <c r="R49" t="s">
        <v>191</v>
      </c>
    </row>
    <row r="50" spans="1:18">
      <c r="C50" s="3">
        <v>1</v>
      </c>
      <c r="N50" s="3">
        <f t="shared" si="1"/>
        <v>48</v>
      </c>
      <c r="R50" t="s">
        <v>193</v>
      </c>
    </row>
    <row r="51" spans="1:18">
      <c r="D51" s="3">
        <v>1</v>
      </c>
      <c r="N51" s="3">
        <f t="shared" si="1"/>
        <v>49</v>
      </c>
      <c r="R51" t="s">
        <v>190</v>
      </c>
    </row>
    <row r="52" spans="1:18">
      <c r="B52" s="3">
        <v>1</v>
      </c>
      <c r="C52" s="2"/>
      <c r="D52" s="2"/>
      <c r="N52" s="3">
        <f t="shared" si="1"/>
        <v>50</v>
      </c>
      <c r="R52" t="s">
        <v>986</v>
      </c>
    </row>
    <row r="53" spans="1:18">
      <c r="C53" s="3">
        <v>1</v>
      </c>
      <c r="N53" s="3">
        <f t="shared" si="1"/>
        <v>51</v>
      </c>
      <c r="R53" t="s">
        <v>191</v>
      </c>
    </row>
    <row r="54" spans="1:18">
      <c r="C54" s="3">
        <v>1</v>
      </c>
      <c r="N54" s="3">
        <f t="shared" si="1"/>
        <v>52</v>
      </c>
      <c r="R54" t="s">
        <v>193</v>
      </c>
    </row>
    <row r="55" spans="1:18">
      <c r="D55" s="3">
        <v>1</v>
      </c>
      <c r="N55" s="3">
        <f t="shared" si="1"/>
        <v>53</v>
      </c>
      <c r="R55" t="s">
        <v>190</v>
      </c>
    </row>
    <row r="56" spans="1:18" s="67" customFormat="1">
      <c r="A56" s="70" t="s">
        <v>151</v>
      </c>
      <c r="B56" s="71"/>
      <c r="C56" s="71"/>
      <c r="D56" s="71"/>
      <c r="E56" s="71"/>
      <c r="F56" s="71"/>
      <c r="G56" s="71"/>
      <c r="H56" s="71">
        <v>1</v>
      </c>
      <c r="I56" s="71"/>
      <c r="J56" s="71"/>
      <c r="K56" s="71"/>
      <c r="L56" s="71"/>
      <c r="M56" s="70">
        <v>6</v>
      </c>
      <c r="N56" s="71">
        <f t="shared" si="1"/>
        <v>54</v>
      </c>
      <c r="O56" s="71"/>
      <c r="P56" s="71"/>
      <c r="Q56" s="71"/>
      <c r="R56" s="67" t="s">
        <v>961</v>
      </c>
    </row>
    <row r="57" spans="1:18">
      <c r="A57" s="3" t="s">
        <v>245</v>
      </c>
      <c r="H57" s="3">
        <v>1</v>
      </c>
      <c r="N57" s="3">
        <f t="shared" si="1"/>
        <v>55</v>
      </c>
      <c r="R57" t="s">
        <v>962</v>
      </c>
    </row>
    <row r="58" spans="1:18">
      <c r="A58" s="3" t="s">
        <v>243</v>
      </c>
      <c r="H58" s="3">
        <v>1</v>
      </c>
      <c r="N58" s="3">
        <f t="shared" si="1"/>
        <v>56</v>
      </c>
      <c r="R58" t="s">
        <v>963</v>
      </c>
    </row>
    <row r="59" spans="1:18">
      <c r="H59" s="3">
        <v>1</v>
      </c>
      <c r="N59" s="3">
        <f t="shared" si="1"/>
        <v>57</v>
      </c>
      <c r="R59" t="s">
        <v>964</v>
      </c>
    </row>
    <row r="60" spans="1:18">
      <c r="H60" s="3">
        <v>1</v>
      </c>
      <c r="N60" s="3">
        <f t="shared" si="1"/>
        <v>58</v>
      </c>
      <c r="R60" t="s">
        <v>965</v>
      </c>
    </row>
    <row r="61" spans="1:18">
      <c r="H61" s="3">
        <v>1</v>
      </c>
      <c r="N61" s="3">
        <f t="shared" si="1"/>
        <v>59</v>
      </c>
      <c r="R61" t="s">
        <v>966</v>
      </c>
    </row>
    <row r="62" spans="1:18" s="67" customFormat="1">
      <c r="A62" s="70" t="s">
        <v>201</v>
      </c>
      <c r="B62" s="70"/>
      <c r="C62" s="70"/>
      <c r="D62" s="70"/>
      <c r="E62" s="70"/>
      <c r="F62" s="71">
        <v>1</v>
      </c>
      <c r="G62" s="70"/>
      <c r="H62" s="70"/>
      <c r="I62" s="70"/>
      <c r="J62" s="70"/>
      <c r="K62" s="70"/>
      <c r="L62" s="70"/>
      <c r="M62" s="70">
        <v>7</v>
      </c>
      <c r="N62" s="71">
        <f t="shared" si="1"/>
        <v>60</v>
      </c>
      <c r="O62" s="71"/>
      <c r="P62" s="71"/>
      <c r="Q62" s="71"/>
      <c r="R62" s="67" t="s">
        <v>958</v>
      </c>
    </row>
    <row r="63" spans="1:18">
      <c r="A63" s="3" t="s">
        <v>336</v>
      </c>
      <c r="G63" s="3">
        <v>1</v>
      </c>
      <c r="N63" s="3">
        <f t="shared" si="1"/>
        <v>61</v>
      </c>
      <c r="R63" t="s">
        <v>959</v>
      </c>
    </row>
    <row r="64" spans="1:18">
      <c r="A64" s="3" t="s">
        <v>243</v>
      </c>
      <c r="G64" s="3">
        <v>1</v>
      </c>
      <c r="N64" s="3">
        <f t="shared" si="1"/>
        <v>62</v>
      </c>
      <c r="R64" t="s">
        <v>960</v>
      </c>
    </row>
    <row r="65" spans="6:18">
      <c r="H65" s="3">
        <v>1</v>
      </c>
      <c r="N65" s="3">
        <f t="shared" si="1"/>
        <v>63</v>
      </c>
      <c r="R65" t="s">
        <v>190</v>
      </c>
    </row>
    <row r="66" spans="6:18">
      <c r="F66" s="3">
        <v>1</v>
      </c>
      <c r="G66" s="2"/>
      <c r="M66" s="2">
        <v>8</v>
      </c>
      <c r="N66" s="3">
        <f t="shared" si="1"/>
        <v>64</v>
      </c>
      <c r="R66" t="s">
        <v>958</v>
      </c>
    </row>
    <row r="67" spans="6:18">
      <c r="G67" s="3">
        <v>1</v>
      </c>
      <c r="N67" s="3">
        <f t="shared" si="1"/>
        <v>65</v>
      </c>
      <c r="R67" t="s">
        <v>959</v>
      </c>
    </row>
    <row r="68" spans="6:18">
      <c r="G68" s="3">
        <v>1</v>
      </c>
      <c r="N68" s="3">
        <f t="shared" si="1"/>
        <v>66</v>
      </c>
      <c r="R68" t="s">
        <v>960</v>
      </c>
    </row>
    <row r="69" spans="6:18">
      <c r="H69" s="3">
        <v>1</v>
      </c>
      <c r="N69" s="3">
        <f t="shared" ref="N69:N117" si="2">N68+1</f>
        <v>67</v>
      </c>
      <c r="R69" t="s">
        <v>190</v>
      </c>
    </row>
    <row r="70" spans="6:18">
      <c r="F70" s="3">
        <v>1</v>
      </c>
      <c r="G70" s="2"/>
      <c r="M70" s="2">
        <v>9</v>
      </c>
      <c r="N70" s="3">
        <f t="shared" si="2"/>
        <v>68</v>
      </c>
      <c r="R70" t="s">
        <v>958</v>
      </c>
    </row>
    <row r="71" spans="6:18">
      <c r="G71" s="3">
        <v>1</v>
      </c>
      <c r="N71" s="3">
        <f t="shared" si="2"/>
        <v>69</v>
      </c>
      <c r="R71" t="s">
        <v>959</v>
      </c>
    </row>
    <row r="72" spans="6:18">
      <c r="G72" s="3">
        <v>1</v>
      </c>
      <c r="N72" s="3">
        <f t="shared" si="2"/>
        <v>70</v>
      </c>
      <c r="R72" t="s">
        <v>960</v>
      </c>
    </row>
    <row r="73" spans="6:18">
      <c r="H73" s="3">
        <v>1</v>
      </c>
      <c r="N73" s="3">
        <f t="shared" si="2"/>
        <v>71</v>
      </c>
      <c r="R73" t="s">
        <v>190</v>
      </c>
    </row>
    <row r="74" spans="6:18">
      <c r="F74" s="3">
        <v>1</v>
      </c>
      <c r="G74" s="2"/>
      <c r="M74" s="2">
        <v>10</v>
      </c>
      <c r="N74" s="3">
        <f t="shared" si="2"/>
        <v>72</v>
      </c>
      <c r="R74" t="s">
        <v>958</v>
      </c>
    </row>
    <row r="75" spans="6:18">
      <c r="G75" s="3">
        <v>1</v>
      </c>
      <c r="N75" s="3">
        <f t="shared" si="2"/>
        <v>73</v>
      </c>
      <c r="R75" t="s">
        <v>959</v>
      </c>
    </row>
    <row r="76" spans="6:18">
      <c r="G76" s="3">
        <v>1</v>
      </c>
      <c r="N76" s="3">
        <f t="shared" si="2"/>
        <v>74</v>
      </c>
      <c r="R76" t="s">
        <v>960</v>
      </c>
    </row>
    <row r="77" spans="6:18">
      <c r="H77" s="3">
        <v>1</v>
      </c>
      <c r="N77" s="3">
        <f t="shared" si="2"/>
        <v>75</v>
      </c>
      <c r="R77" t="s">
        <v>190</v>
      </c>
    </row>
    <row r="78" spans="6:18">
      <c r="F78" s="3">
        <v>1</v>
      </c>
      <c r="G78" s="2"/>
      <c r="M78" s="2">
        <v>11</v>
      </c>
      <c r="N78" s="3">
        <f t="shared" si="2"/>
        <v>76</v>
      </c>
      <c r="R78" t="s">
        <v>958</v>
      </c>
    </row>
    <row r="79" spans="6:18">
      <c r="G79" s="3">
        <v>1</v>
      </c>
      <c r="N79" s="3">
        <f t="shared" si="2"/>
        <v>77</v>
      </c>
      <c r="R79" t="s">
        <v>959</v>
      </c>
    </row>
    <row r="80" spans="6:18">
      <c r="G80" s="3">
        <v>1</v>
      </c>
      <c r="N80" s="3">
        <f t="shared" si="2"/>
        <v>78</v>
      </c>
      <c r="R80" t="s">
        <v>960</v>
      </c>
    </row>
    <row r="81" spans="1:18">
      <c r="H81" s="3">
        <v>1</v>
      </c>
      <c r="N81" s="3">
        <f t="shared" si="2"/>
        <v>79</v>
      </c>
      <c r="R81" t="s">
        <v>190</v>
      </c>
    </row>
    <row r="82" spans="1:18">
      <c r="F82" s="3">
        <v>1</v>
      </c>
      <c r="G82" s="2"/>
      <c r="M82" s="2">
        <v>12</v>
      </c>
      <c r="N82" s="3">
        <f t="shared" si="2"/>
        <v>80</v>
      </c>
      <c r="R82" t="s">
        <v>958</v>
      </c>
    </row>
    <row r="83" spans="1:18">
      <c r="G83" s="3">
        <v>1</v>
      </c>
      <c r="N83" s="3">
        <f t="shared" si="2"/>
        <v>81</v>
      </c>
      <c r="R83" t="s">
        <v>959</v>
      </c>
    </row>
    <row r="84" spans="1:18">
      <c r="G84" s="3">
        <v>1</v>
      </c>
      <c r="N84" s="3">
        <f t="shared" si="2"/>
        <v>82</v>
      </c>
      <c r="R84" t="s">
        <v>960</v>
      </c>
    </row>
    <row r="85" spans="1:18">
      <c r="H85" s="3">
        <v>1</v>
      </c>
      <c r="N85" s="3">
        <f t="shared" si="2"/>
        <v>83</v>
      </c>
      <c r="R85" t="s">
        <v>190</v>
      </c>
    </row>
    <row r="86" spans="1:18" s="67" customFormat="1">
      <c r="A86" s="70" t="s">
        <v>206</v>
      </c>
      <c r="B86" s="70"/>
      <c r="C86" s="70"/>
      <c r="D86" s="70"/>
      <c r="E86" s="70"/>
      <c r="F86" s="70"/>
      <c r="G86" s="71">
        <v>1</v>
      </c>
      <c r="H86" s="71"/>
      <c r="I86" s="71"/>
      <c r="J86" s="71"/>
      <c r="K86" s="71"/>
      <c r="L86" s="71"/>
      <c r="M86" s="70">
        <v>13</v>
      </c>
      <c r="N86" s="71">
        <f t="shared" si="2"/>
        <v>84</v>
      </c>
      <c r="O86" s="71"/>
      <c r="P86" s="71"/>
      <c r="Q86" s="71"/>
      <c r="R86" s="67" t="s">
        <v>967</v>
      </c>
    </row>
    <row r="87" spans="1:18">
      <c r="A87" s="3" t="s">
        <v>335</v>
      </c>
      <c r="G87" s="3">
        <v>1</v>
      </c>
      <c r="N87" s="3">
        <f t="shared" si="2"/>
        <v>85</v>
      </c>
      <c r="R87" t="s">
        <v>968</v>
      </c>
    </row>
    <row r="88" spans="1:18">
      <c r="A88" s="3" t="s">
        <v>244</v>
      </c>
      <c r="J88" s="3">
        <v>1</v>
      </c>
      <c r="M88" s="2">
        <v>14</v>
      </c>
      <c r="N88" s="3">
        <f t="shared" si="2"/>
        <v>86</v>
      </c>
      <c r="R88" t="s">
        <v>969</v>
      </c>
    </row>
    <row r="89" spans="1:18">
      <c r="G89" s="3">
        <v>1</v>
      </c>
      <c r="N89" s="3">
        <f t="shared" si="2"/>
        <v>87</v>
      </c>
      <c r="R89" t="s">
        <v>970</v>
      </c>
    </row>
    <row r="90" spans="1:18">
      <c r="J90" s="3">
        <v>1</v>
      </c>
      <c r="M90" s="2">
        <v>15</v>
      </c>
      <c r="N90" s="3">
        <f t="shared" si="2"/>
        <v>88</v>
      </c>
      <c r="R90" t="s">
        <v>971</v>
      </c>
    </row>
    <row r="91" spans="1:18">
      <c r="G91" s="3">
        <v>1</v>
      </c>
      <c r="N91" s="3">
        <f t="shared" si="2"/>
        <v>89</v>
      </c>
      <c r="R91" t="s">
        <v>972</v>
      </c>
    </row>
    <row r="92" spans="1:18">
      <c r="J92" s="3">
        <v>1</v>
      </c>
      <c r="M92" s="2">
        <v>16</v>
      </c>
      <c r="N92" s="3">
        <f t="shared" si="2"/>
        <v>90</v>
      </c>
      <c r="R92" t="s">
        <v>982</v>
      </c>
    </row>
    <row r="93" spans="1:18">
      <c r="G93" s="3">
        <v>1</v>
      </c>
      <c r="N93" s="3">
        <f t="shared" si="2"/>
        <v>91</v>
      </c>
      <c r="R93" t="s">
        <v>983</v>
      </c>
    </row>
    <row r="94" spans="1:18" s="67" customFormat="1">
      <c r="A94" s="70" t="s">
        <v>337</v>
      </c>
      <c r="B94" s="70"/>
      <c r="C94" s="70"/>
      <c r="D94" s="70"/>
      <c r="E94" s="70"/>
      <c r="F94" s="70"/>
      <c r="G94" s="70"/>
      <c r="H94" s="70"/>
      <c r="I94" s="70"/>
      <c r="J94" s="71">
        <v>1</v>
      </c>
      <c r="K94" s="70"/>
      <c r="L94" s="70"/>
      <c r="M94" s="70">
        <v>17</v>
      </c>
      <c r="N94" s="71">
        <f t="shared" si="2"/>
        <v>92</v>
      </c>
      <c r="O94" s="71"/>
      <c r="P94" s="71"/>
      <c r="Q94" s="71"/>
      <c r="R94" s="67" t="s">
        <v>973</v>
      </c>
    </row>
    <row r="95" spans="1:18">
      <c r="A95" s="3" t="s">
        <v>336</v>
      </c>
      <c r="L95" s="3">
        <v>1</v>
      </c>
      <c r="N95" s="3">
        <f t="shared" si="2"/>
        <v>93</v>
      </c>
      <c r="R95" t="s">
        <v>190</v>
      </c>
    </row>
    <row r="96" spans="1:18">
      <c r="A96" s="3" t="s">
        <v>244</v>
      </c>
      <c r="K96" s="3">
        <v>1</v>
      </c>
      <c r="N96" s="3">
        <f t="shared" si="2"/>
        <v>94</v>
      </c>
      <c r="R96" t="s">
        <v>974</v>
      </c>
    </row>
    <row r="97" spans="1:18">
      <c r="K97" s="3">
        <v>1</v>
      </c>
      <c r="N97" s="3">
        <f t="shared" si="2"/>
        <v>95</v>
      </c>
      <c r="R97" t="s">
        <v>975</v>
      </c>
    </row>
    <row r="98" spans="1:18">
      <c r="A98" s="2"/>
      <c r="B98" s="2"/>
      <c r="C98" s="2"/>
      <c r="D98" s="2"/>
      <c r="E98" s="2"/>
      <c r="F98" s="2"/>
      <c r="G98" s="2"/>
      <c r="H98" s="2"/>
      <c r="I98" s="2"/>
      <c r="J98" s="3">
        <v>1</v>
      </c>
      <c r="K98" s="2"/>
      <c r="L98" s="2"/>
      <c r="M98" s="2">
        <v>18</v>
      </c>
      <c r="N98" s="3">
        <f t="shared" si="2"/>
        <v>96</v>
      </c>
      <c r="R98" t="s">
        <v>973</v>
      </c>
    </row>
    <row r="99" spans="1:18">
      <c r="L99" s="3">
        <v>1</v>
      </c>
      <c r="N99" s="3">
        <f t="shared" si="2"/>
        <v>97</v>
      </c>
      <c r="R99" t="s">
        <v>190</v>
      </c>
    </row>
    <row r="100" spans="1:18">
      <c r="K100" s="3">
        <v>1</v>
      </c>
      <c r="N100" s="3">
        <f t="shared" si="2"/>
        <v>98</v>
      </c>
      <c r="R100" t="s">
        <v>974</v>
      </c>
    </row>
    <row r="101" spans="1:18">
      <c r="K101" s="3">
        <v>1</v>
      </c>
      <c r="N101" s="3">
        <f t="shared" si="2"/>
        <v>99</v>
      </c>
      <c r="R101" t="s">
        <v>975</v>
      </c>
    </row>
    <row r="102" spans="1:18">
      <c r="J102" s="3">
        <v>1</v>
      </c>
      <c r="K102" s="2"/>
      <c r="L102" s="2"/>
      <c r="M102" s="2">
        <v>19</v>
      </c>
      <c r="N102" s="3">
        <f t="shared" si="2"/>
        <v>100</v>
      </c>
      <c r="R102" t="s">
        <v>973</v>
      </c>
    </row>
    <row r="103" spans="1:18">
      <c r="L103" s="3">
        <v>1</v>
      </c>
      <c r="N103" s="3">
        <f t="shared" si="2"/>
        <v>101</v>
      </c>
      <c r="R103" t="s">
        <v>190</v>
      </c>
    </row>
    <row r="104" spans="1:18">
      <c r="K104" s="3">
        <v>1</v>
      </c>
      <c r="N104" s="3">
        <f t="shared" si="2"/>
        <v>102</v>
      </c>
      <c r="R104" t="s">
        <v>974</v>
      </c>
    </row>
    <row r="105" spans="1:18">
      <c r="K105" s="3">
        <v>1</v>
      </c>
      <c r="N105" s="3">
        <f t="shared" si="2"/>
        <v>103</v>
      </c>
      <c r="R105" t="s">
        <v>975</v>
      </c>
    </row>
    <row r="106" spans="1:18">
      <c r="J106" s="3">
        <v>1</v>
      </c>
      <c r="K106" s="2"/>
      <c r="L106" s="2"/>
      <c r="M106" s="2">
        <v>20</v>
      </c>
      <c r="N106" s="3">
        <f t="shared" si="2"/>
        <v>104</v>
      </c>
      <c r="R106" t="s">
        <v>973</v>
      </c>
    </row>
    <row r="107" spans="1:18">
      <c r="L107" s="3">
        <v>1</v>
      </c>
      <c r="N107" s="3">
        <f t="shared" si="2"/>
        <v>105</v>
      </c>
      <c r="R107" t="s">
        <v>190</v>
      </c>
    </row>
    <row r="108" spans="1:18">
      <c r="K108" s="3">
        <v>1</v>
      </c>
      <c r="N108" s="3">
        <f t="shared" si="2"/>
        <v>106</v>
      </c>
      <c r="R108" t="s">
        <v>974</v>
      </c>
    </row>
    <row r="109" spans="1:18">
      <c r="K109" s="3">
        <v>1</v>
      </c>
      <c r="N109" s="3">
        <f t="shared" si="2"/>
        <v>107</v>
      </c>
      <c r="R109" t="s">
        <v>975</v>
      </c>
    </row>
    <row r="110" spans="1:18">
      <c r="J110" s="3">
        <v>1</v>
      </c>
      <c r="K110" s="2"/>
      <c r="L110" s="2"/>
      <c r="M110" s="2">
        <v>21</v>
      </c>
      <c r="N110" s="3">
        <f t="shared" si="2"/>
        <v>108</v>
      </c>
      <c r="R110" t="s">
        <v>973</v>
      </c>
    </row>
    <row r="111" spans="1:18">
      <c r="L111" s="3">
        <v>1</v>
      </c>
      <c r="N111" s="3">
        <f t="shared" si="2"/>
        <v>109</v>
      </c>
      <c r="R111" t="s">
        <v>190</v>
      </c>
    </row>
    <row r="112" spans="1:18">
      <c r="K112" s="3">
        <v>1</v>
      </c>
      <c r="N112" s="3">
        <f t="shared" si="2"/>
        <v>110</v>
      </c>
      <c r="R112" t="s">
        <v>974</v>
      </c>
    </row>
    <row r="113" spans="1:25">
      <c r="K113" s="3">
        <v>1</v>
      </c>
      <c r="N113" s="3">
        <f t="shared" si="2"/>
        <v>111</v>
      </c>
      <c r="R113" t="s">
        <v>975</v>
      </c>
    </row>
    <row r="114" spans="1:25">
      <c r="J114" s="3">
        <v>1</v>
      </c>
      <c r="K114" s="2"/>
      <c r="L114" s="2"/>
      <c r="M114" s="2">
        <v>22</v>
      </c>
      <c r="N114" s="3">
        <f t="shared" si="2"/>
        <v>112</v>
      </c>
      <c r="R114" t="s">
        <v>973</v>
      </c>
    </row>
    <row r="115" spans="1:25">
      <c r="L115" s="3">
        <v>1</v>
      </c>
      <c r="N115" s="3">
        <f t="shared" si="2"/>
        <v>113</v>
      </c>
      <c r="R115" t="s">
        <v>190</v>
      </c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K116" s="3">
        <v>1</v>
      </c>
      <c r="N116" s="3">
        <f t="shared" si="2"/>
        <v>114</v>
      </c>
      <c r="R116" t="s">
        <v>974</v>
      </c>
    </row>
    <row r="117" spans="1:25">
      <c r="K117" s="3">
        <v>1</v>
      </c>
      <c r="N117" s="3">
        <f t="shared" si="2"/>
        <v>115</v>
      </c>
      <c r="R117" t="s">
        <v>975</v>
      </c>
    </row>
    <row r="119" spans="1:25">
      <c r="C119" s="3" t="s">
        <v>976</v>
      </c>
      <c r="G119" s="3" t="s">
        <v>977</v>
      </c>
      <c r="K119" s="3" t="s">
        <v>6</v>
      </c>
    </row>
    <row r="120" spans="1:25" ht="40">
      <c r="A120" s="60" t="s">
        <v>152</v>
      </c>
      <c r="B120" s="69" t="s">
        <v>14</v>
      </c>
      <c r="C120" s="69" t="s">
        <v>1</v>
      </c>
      <c r="D120" s="69" t="s">
        <v>2</v>
      </c>
      <c r="E120" s="69"/>
      <c r="F120" s="69" t="s">
        <v>14</v>
      </c>
      <c r="G120" s="69" t="s">
        <v>1</v>
      </c>
      <c r="H120" s="69" t="s">
        <v>2</v>
      </c>
      <c r="I120" s="69"/>
      <c r="J120" s="69" t="s">
        <v>14</v>
      </c>
      <c r="K120" s="69" t="s">
        <v>1</v>
      </c>
      <c r="L120" s="69" t="s">
        <v>2</v>
      </c>
      <c r="M120" s="60"/>
      <c r="N120" s="60"/>
      <c r="O120" s="60"/>
      <c r="P120" s="60"/>
      <c r="Q120" s="60"/>
      <c r="R120" s="61"/>
    </row>
    <row r="121" spans="1:25">
      <c r="B121" s="3">
        <f>SUM(B3:B117)</f>
        <v>14</v>
      </c>
      <c r="C121" s="3">
        <f>SUM(C3:C117)</f>
        <v>21</v>
      </c>
      <c r="D121" s="3">
        <f>SUM(D3:D117)</f>
        <v>8</v>
      </c>
      <c r="F121" s="3">
        <f>SUM(F3:F117)</f>
        <v>6</v>
      </c>
      <c r="G121" s="3">
        <f>SUM(G3:G117)</f>
        <v>17</v>
      </c>
      <c r="H121" s="3">
        <f>SUM(H3:H117)</f>
        <v>12</v>
      </c>
      <c r="J121" s="3">
        <f>SUM(J3:J117)</f>
        <v>9</v>
      </c>
      <c r="K121" s="3">
        <f>SUM(K3:K117)</f>
        <v>12</v>
      </c>
      <c r="L121" s="3">
        <f>SUM(L3:L117)</f>
        <v>6</v>
      </c>
    </row>
    <row r="124" spans="1:25">
      <c r="A124" s="3" t="s">
        <v>336</v>
      </c>
      <c r="B124" s="3">
        <f>T126</f>
        <v>6</v>
      </c>
      <c r="C124" s="3">
        <f t="shared" ref="C124:D124" si="3">U126</f>
        <v>12</v>
      </c>
      <c r="D124" s="3">
        <f t="shared" si="3"/>
        <v>6</v>
      </c>
      <c r="F124" s="3">
        <f>T127</f>
        <v>6</v>
      </c>
      <c r="G124" s="3">
        <f t="shared" ref="G124:H124" si="4">U127</f>
        <v>12</v>
      </c>
      <c r="H124" s="3">
        <f t="shared" si="4"/>
        <v>6</v>
      </c>
      <c r="J124" s="3">
        <f>T128</f>
        <v>6</v>
      </c>
      <c r="K124" s="3">
        <f t="shared" ref="K124:L124" si="5">U128</f>
        <v>12</v>
      </c>
      <c r="L124" s="3">
        <f t="shared" si="5"/>
        <v>6</v>
      </c>
      <c r="S124" s="3"/>
      <c r="T124" s="3"/>
      <c r="U124" s="3"/>
      <c r="V124" s="3"/>
      <c r="W124" s="3"/>
      <c r="X124" s="3"/>
      <c r="Y124" s="3"/>
    </row>
    <row r="125" spans="1:25">
      <c r="S125" s="3"/>
      <c r="T125" s="2" t="s">
        <v>14</v>
      </c>
      <c r="U125" s="2" t="s">
        <v>1</v>
      </c>
      <c r="V125" s="2" t="s">
        <v>2</v>
      </c>
      <c r="W125" s="3"/>
      <c r="X125" s="3"/>
      <c r="Y125" s="3"/>
    </row>
    <row r="126" spans="1:25">
      <c r="A126" s="3" t="s">
        <v>981</v>
      </c>
      <c r="B126" s="3">
        <f>B121-B124</f>
        <v>8</v>
      </c>
      <c r="C126" s="3">
        <f t="shared" ref="C126:L126" si="6">C121-C124</f>
        <v>9</v>
      </c>
      <c r="D126" s="3">
        <f t="shared" si="6"/>
        <v>2</v>
      </c>
      <c r="F126" s="3">
        <f t="shared" si="6"/>
        <v>0</v>
      </c>
      <c r="G126" s="3">
        <f t="shared" si="6"/>
        <v>5</v>
      </c>
      <c r="H126" s="3">
        <f t="shared" si="6"/>
        <v>6</v>
      </c>
      <c r="J126" s="3">
        <f t="shared" si="6"/>
        <v>3</v>
      </c>
      <c r="K126" s="3">
        <f t="shared" si="6"/>
        <v>0</v>
      </c>
      <c r="L126" s="3">
        <f t="shared" si="6"/>
        <v>0</v>
      </c>
      <c r="S126" s="3" t="s">
        <v>978</v>
      </c>
      <c r="T126" s="3">
        <v>6</v>
      </c>
      <c r="U126" s="3">
        <v>12</v>
      </c>
      <c r="V126" s="3">
        <v>6</v>
      </c>
      <c r="W126" s="3"/>
      <c r="X126" s="3"/>
      <c r="Y126" s="3"/>
    </row>
    <row r="127" spans="1:25">
      <c r="S127" s="3" t="s">
        <v>979</v>
      </c>
      <c r="T127" s="3">
        <v>6</v>
      </c>
      <c r="U127" s="3">
        <v>12</v>
      </c>
      <c r="V127" s="3">
        <v>6</v>
      </c>
      <c r="W127" s="3"/>
      <c r="X127" s="3"/>
      <c r="Y127" s="3"/>
    </row>
    <row r="128" spans="1:25">
      <c r="S128" s="3" t="s">
        <v>980</v>
      </c>
      <c r="T128" s="3">
        <v>6</v>
      </c>
      <c r="U128" s="3">
        <v>12</v>
      </c>
      <c r="V128" s="3">
        <v>6</v>
      </c>
      <c r="W128" s="3"/>
      <c r="X128" s="3"/>
      <c r="Y128" s="3"/>
    </row>
    <row r="129" spans="19:25">
      <c r="S129" s="3"/>
      <c r="T129" s="3"/>
      <c r="U129" s="3"/>
      <c r="V129" s="3"/>
      <c r="W129" s="3"/>
      <c r="X129" s="3"/>
      <c r="Y129" s="3"/>
    </row>
    <row r="130" spans="19:25">
      <c r="S130" s="3" t="s">
        <v>985</v>
      </c>
      <c r="T130" s="3">
        <f>SUM(T126:T128)</f>
        <v>18</v>
      </c>
      <c r="U130" s="3">
        <f t="shared" ref="U130:V130" si="7">SUM(U126:U128)</f>
        <v>36</v>
      </c>
      <c r="V130" s="3">
        <f t="shared" si="7"/>
        <v>18</v>
      </c>
      <c r="W130" s="3"/>
      <c r="X130" s="3">
        <f>SUM(T130:V130)</f>
        <v>72</v>
      </c>
      <c r="Y130" s="3"/>
    </row>
    <row r="131" spans="19:25">
      <c r="S131" s="3"/>
      <c r="T131" s="3"/>
      <c r="U131" s="3"/>
      <c r="V131" s="3"/>
      <c r="W131" s="3"/>
      <c r="X131" s="3"/>
      <c r="Y131" s="3"/>
    </row>
    <row r="132" spans="19:25">
      <c r="S132" s="3"/>
      <c r="T132" s="3"/>
      <c r="U132" s="3"/>
      <c r="V132" s="3"/>
      <c r="W132" s="3"/>
      <c r="X132" s="3"/>
      <c r="Y132" s="3"/>
    </row>
    <row r="133" spans="19:25">
      <c r="S133" s="3" t="s">
        <v>329</v>
      </c>
      <c r="T133" s="3"/>
      <c r="U133" s="3"/>
      <c r="V133" s="3"/>
      <c r="W133" s="3"/>
      <c r="X133" s="3"/>
      <c r="Y133" s="3"/>
    </row>
    <row r="134" spans="19:25">
      <c r="S134" s="3" t="s">
        <v>331</v>
      </c>
      <c r="T134" s="3"/>
      <c r="U134" s="3"/>
      <c r="V134" s="3">
        <v>6</v>
      </c>
      <c r="W134" s="3"/>
      <c r="X134" s="3"/>
      <c r="Y134" s="3"/>
    </row>
    <row r="135" spans="19:25">
      <c r="S135" s="3" t="s">
        <v>984</v>
      </c>
      <c r="T135" s="3"/>
      <c r="U135" s="3"/>
      <c r="V135" s="3"/>
      <c r="W135" s="3"/>
      <c r="X135" s="3"/>
      <c r="Y135" s="3"/>
    </row>
    <row r="136" spans="19:25">
      <c r="S136" s="3"/>
      <c r="T136" s="3"/>
      <c r="U136" s="3"/>
      <c r="V136" s="3"/>
      <c r="W136" s="3"/>
      <c r="X136" s="3"/>
      <c r="Y136" s="3"/>
    </row>
    <row r="139" spans="19:25">
      <c r="S139" s="3"/>
      <c r="T139" s="3"/>
      <c r="U139" s="3"/>
      <c r="V139" s="3"/>
      <c r="W139" s="3"/>
      <c r="X139" s="3"/>
      <c r="Y139" s="3"/>
    </row>
    <row r="140" spans="19:25">
      <c r="S140" s="3"/>
      <c r="T140" s="3"/>
      <c r="U140" s="3"/>
      <c r="V140" s="3"/>
      <c r="W140" s="3"/>
      <c r="X140" s="3"/>
      <c r="Y140" s="3"/>
    </row>
    <row r="141" spans="19:25">
      <c r="S141" s="3"/>
      <c r="T141" s="3"/>
      <c r="U141" s="3"/>
      <c r="V141" s="3"/>
      <c r="W141" s="3"/>
      <c r="X141" s="3"/>
      <c r="Y141" s="3"/>
    </row>
    <row r="142" spans="19:25">
      <c r="S142" s="3"/>
      <c r="T142" s="3"/>
      <c r="U142" s="3"/>
      <c r="V142" s="3"/>
      <c r="W142" s="3"/>
      <c r="X142" s="3"/>
      <c r="Y142" s="3"/>
    </row>
    <row r="143" spans="19:25">
      <c r="S143" s="3"/>
      <c r="T143" s="3"/>
      <c r="U143" s="3"/>
      <c r="V143" s="3"/>
      <c r="W143" s="3"/>
      <c r="X143" s="3"/>
      <c r="Y143" s="3"/>
    </row>
    <row r="144" spans="19:25">
      <c r="S144" s="3"/>
      <c r="T144" s="3"/>
      <c r="U144" s="3"/>
      <c r="V144" s="3"/>
      <c r="W144" s="3"/>
      <c r="X144" s="3"/>
      <c r="Y144" s="3"/>
    </row>
    <row r="153" spans="17:17">
      <c r="Q153" s="3">
        <v>45</v>
      </c>
    </row>
    <row r="154" spans="17:17">
      <c r="Q154" s="3">
        <f>Q153+90</f>
        <v>135</v>
      </c>
    </row>
    <row r="155" spans="17:17">
      <c r="Q155" s="3">
        <f t="shared" ref="Q155:Q156" si="8">Q154+90</f>
        <v>225</v>
      </c>
    </row>
    <row r="156" spans="17:17">
      <c r="Q156" s="3">
        <f t="shared" si="8"/>
        <v>315</v>
      </c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AF66-9BF9-4DD1-95A4-BF9986F3186E}">
  <dimension ref="A2:S207"/>
  <sheetViews>
    <sheetView topLeftCell="A9" workbookViewId="0">
      <selection activeCell="I68" sqref="I68"/>
    </sheetView>
  </sheetViews>
  <sheetFormatPr defaultRowHeight="14.5"/>
  <cols>
    <col min="1" max="1" width="11" style="60" bestFit="1" customWidth="1"/>
    <col min="2" max="2" width="18.453125" style="43" bestFit="1" customWidth="1"/>
    <col min="3" max="3" width="7.453125" style="43" bestFit="1" customWidth="1"/>
    <col min="4" max="4" width="7.1796875" style="2" customWidth="1"/>
    <col min="5" max="5" width="7.7265625" style="3" customWidth="1"/>
    <col min="6" max="6" width="5.1796875" style="3" bestFit="1" customWidth="1"/>
    <col min="7" max="7" width="6.54296875" style="3" bestFit="1" customWidth="1"/>
    <col min="8" max="8" width="10.453125" style="3" customWidth="1"/>
    <col min="9" max="9" width="7.453125" style="3" bestFit="1" customWidth="1"/>
    <col min="10" max="10" width="10.6328125" style="3" bestFit="1" customWidth="1"/>
    <col min="11" max="11" width="9.81640625" style="3" bestFit="1" customWidth="1"/>
    <col min="12" max="12" width="12.26953125" customWidth="1"/>
    <col min="13" max="13" width="11.453125" bestFit="1" customWidth="1"/>
    <col min="14" max="14" width="8.453125" bestFit="1" customWidth="1"/>
    <col min="15" max="15" width="11.81640625" bestFit="1" customWidth="1"/>
  </cols>
  <sheetData>
    <row r="2" spans="1:16" s="1" customFormat="1">
      <c r="A2" s="60" t="s">
        <v>1087</v>
      </c>
      <c r="B2" s="58" t="s">
        <v>1088</v>
      </c>
      <c r="C2" s="58"/>
      <c r="D2" s="2" t="s">
        <v>1089</v>
      </c>
      <c r="E2" s="2" t="s">
        <v>1090</v>
      </c>
      <c r="F2" s="2"/>
      <c r="G2" s="2" t="s">
        <v>1091</v>
      </c>
      <c r="H2" s="2"/>
      <c r="I2" s="2"/>
      <c r="J2" s="2"/>
      <c r="K2" s="2" t="s">
        <v>1092</v>
      </c>
      <c r="L2" s="2" t="s">
        <v>1093</v>
      </c>
      <c r="M2" s="2" t="s">
        <v>1094</v>
      </c>
      <c r="N2" s="2" t="s">
        <v>1095</v>
      </c>
      <c r="O2" s="1" t="s">
        <v>1112</v>
      </c>
      <c r="P2" s="2" t="s">
        <v>1096</v>
      </c>
    </row>
    <row r="3" spans="1:16" s="1" customFormat="1">
      <c r="A3" s="60"/>
      <c r="B3" s="58" t="s">
        <v>1097</v>
      </c>
      <c r="C3" s="58"/>
      <c r="D3" s="2" t="s">
        <v>1098</v>
      </c>
      <c r="E3" s="2" t="s">
        <v>1099</v>
      </c>
      <c r="F3" s="2"/>
      <c r="G3" s="2" t="s">
        <v>1099</v>
      </c>
      <c r="H3" s="2"/>
      <c r="I3" s="2"/>
      <c r="J3" s="2"/>
      <c r="K3" s="2" t="s">
        <v>1097</v>
      </c>
      <c r="L3" s="2" t="s">
        <v>1099</v>
      </c>
      <c r="M3" s="2" t="s">
        <v>1099</v>
      </c>
      <c r="N3" s="2" t="s">
        <v>1099</v>
      </c>
      <c r="O3" s="2" t="s">
        <v>1099</v>
      </c>
      <c r="P3" s="2" t="s">
        <v>1100</v>
      </c>
    </row>
    <row r="4" spans="1:16" s="1" customFormat="1">
      <c r="A4" s="60"/>
      <c r="B4" s="58"/>
      <c r="C4" s="5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s="1" customFormat="1">
      <c r="A5" s="60"/>
      <c r="B5" s="58"/>
      <c r="C5" s="58"/>
      <c r="D5" s="2"/>
      <c r="E5" s="2"/>
      <c r="F5" s="2"/>
      <c r="G5" s="2"/>
      <c r="H5" s="2"/>
      <c r="I5" s="2"/>
      <c r="J5" s="2"/>
      <c r="K5" s="2" t="s">
        <v>1101</v>
      </c>
      <c r="L5" s="2" t="s">
        <v>1103</v>
      </c>
      <c r="M5" s="2" t="s">
        <v>1102</v>
      </c>
      <c r="N5" s="2" t="s">
        <v>1102</v>
      </c>
      <c r="O5" s="2" t="s">
        <v>1113</v>
      </c>
    </row>
    <row r="6" spans="1:16">
      <c r="L6" s="2" t="s">
        <v>1104</v>
      </c>
      <c r="M6" s="2" t="s">
        <v>1107</v>
      </c>
      <c r="N6" s="2" t="s">
        <v>1109</v>
      </c>
      <c r="O6" s="2" t="s">
        <v>1114</v>
      </c>
    </row>
    <row r="7" spans="1:16">
      <c r="L7" s="2" t="s">
        <v>1105</v>
      </c>
      <c r="M7" s="2" t="s">
        <v>1106</v>
      </c>
      <c r="N7" s="2" t="s">
        <v>1110</v>
      </c>
    </row>
    <row r="8" spans="1:16">
      <c r="L8" s="2" t="s">
        <v>1125</v>
      </c>
      <c r="M8" s="2" t="s">
        <v>1108</v>
      </c>
      <c r="N8" s="2" t="s">
        <v>1111</v>
      </c>
    </row>
    <row r="9" spans="1:16">
      <c r="N9" s="2"/>
    </row>
    <row r="27" spans="1:12">
      <c r="A27" s="60" t="s">
        <v>152</v>
      </c>
      <c r="B27" s="59" t="s">
        <v>1086</v>
      </c>
      <c r="C27" s="60" t="s">
        <v>1122</v>
      </c>
      <c r="D27" s="60" t="s">
        <v>152</v>
      </c>
      <c r="E27" s="60" t="s">
        <v>1124</v>
      </c>
      <c r="F27" s="60" t="s">
        <v>157</v>
      </c>
      <c r="G27" s="60" t="s">
        <v>1119</v>
      </c>
      <c r="H27" s="60" t="s">
        <v>1120</v>
      </c>
      <c r="I27" s="60" t="s">
        <v>1121</v>
      </c>
      <c r="J27" s="60" t="s">
        <v>1123</v>
      </c>
      <c r="K27" s="60" t="s">
        <v>1115</v>
      </c>
      <c r="L27" s="61" t="s">
        <v>154</v>
      </c>
    </row>
    <row r="28" spans="1:12">
      <c r="A28" s="60" t="s">
        <v>145</v>
      </c>
      <c r="B28" s="43" t="str">
        <f>C28&amp;"-"&amp;D28&amp;"-"&amp;E28&amp;"-"&amp;F28&amp;"-"&amp;G28&amp;"-"&amp;H28&amp;"-"&amp;I28&amp;"-"&amp;J28</f>
        <v>2571-1-1-0-0-0-0-0</v>
      </c>
      <c r="C28" s="3">
        <v>2571</v>
      </c>
      <c r="D28" s="3">
        <v>1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 t="s">
        <v>1116</v>
      </c>
    </row>
    <row r="29" spans="1:12">
      <c r="A29" s="60" t="s">
        <v>146</v>
      </c>
      <c r="B29" s="43" t="str">
        <f t="shared" ref="B29:B42" si="0">C29&amp;"-"&amp;D29&amp;"-"&amp;E29&amp;"-"&amp;F29&amp;"-"&amp;G29&amp;"-"&amp;H29&amp;"-"&amp;I29&amp;"-"&amp;J29</f>
        <v>2574-1-2-0-0-0-0-0</v>
      </c>
      <c r="C29" s="3">
        <v>2574</v>
      </c>
      <c r="D29" s="3">
        <v>1</v>
      </c>
      <c r="E29" s="3">
        <v>2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1117</v>
      </c>
    </row>
    <row r="30" spans="1:12">
      <c r="B30" s="43" t="str">
        <f t="shared" si="0"/>
        <v>277-1-3-0-0-0-0-0</v>
      </c>
      <c r="C30" s="3">
        <v>277</v>
      </c>
      <c r="D30" s="3">
        <v>1</v>
      </c>
      <c r="E30" s="3">
        <v>3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 t="s">
        <v>17</v>
      </c>
    </row>
    <row r="31" spans="1:12">
      <c r="B31" s="43" t="str">
        <f t="shared" si="0"/>
        <v>2580-1-4-0-0-0-0-0</v>
      </c>
      <c r="C31" s="3">
        <v>2580</v>
      </c>
      <c r="D31" s="3">
        <v>1</v>
      </c>
      <c r="E31" s="3">
        <v>4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1118</v>
      </c>
    </row>
    <row r="32" spans="1:12">
      <c r="B32" s="43" t="str">
        <f t="shared" si="0"/>
        <v>2583-1-5-0-0-0-0-0</v>
      </c>
      <c r="C32" s="3">
        <v>2583</v>
      </c>
      <c r="D32" s="3">
        <v>1</v>
      </c>
      <c r="E32" s="3">
        <v>5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335</v>
      </c>
    </row>
    <row r="33" spans="1:12">
      <c r="A33" s="61"/>
      <c r="B33" s="43" t="str">
        <f t="shared" si="0"/>
        <v>2592-1-6-1-3-0-0-0</v>
      </c>
      <c r="C33" s="3">
        <v>2592</v>
      </c>
      <c r="D33" s="3">
        <v>1</v>
      </c>
      <c r="E33" s="3">
        <v>6</v>
      </c>
      <c r="F33" s="3">
        <v>1</v>
      </c>
      <c r="G33" s="3">
        <v>3</v>
      </c>
      <c r="H33" s="3">
        <v>0</v>
      </c>
      <c r="I33" s="3">
        <v>0</v>
      </c>
      <c r="J33" s="3">
        <v>0</v>
      </c>
      <c r="L33" t="s">
        <v>155</v>
      </c>
    </row>
    <row r="34" spans="1:12">
      <c r="A34" s="61"/>
      <c r="B34" s="43" t="str">
        <f t="shared" si="0"/>
        <v>2596-1-7-2-3-0-0-0</v>
      </c>
      <c r="C34" s="3">
        <v>2596</v>
      </c>
      <c r="D34" s="3">
        <v>1</v>
      </c>
      <c r="E34" s="3">
        <v>7</v>
      </c>
      <c r="F34" s="3">
        <f>F33+1</f>
        <v>2</v>
      </c>
      <c r="G34" s="3">
        <v>3</v>
      </c>
      <c r="H34" s="3">
        <v>0</v>
      </c>
      <c r="I34" s="3">
        <v>0</v>
      </c>
      <c r="J34" s="3">
        <v>0</v>
      </c>
      <c r="L34" t="s">
        <v>158</v>
      </c>
    </row>
    <row r="35" spans="1:12">
      <c r="B35" s="43" t="str">
        <f t="shared" si="0"/>
        <v>2598-1-8-3-3-0-0-0</v>
      </c>
      <c r="C35" s="3">
        <v>2598</v>
      </c>
      <c r="D35" s="3">
        <v>1</v>
      </c>
      <c r="E35" s="3">
        <v>8</v>
      </c>
      <c r="F35" s="3">
        <f t="shared" ref="F35:F119" si="1">F34+1</f>
        <v>3</v>
      </c>
      <c r="G35" s="3">
        <v>3</v>
      </c>
      <c r="H35" s="3">
        <v>0</v>
      </c>
      <c r="I35" s="3">
        <v>0</v>
      </c>
      <c r="J35" s="3">
        <v>0</v>
      </c>
      <c r="L35" t="s">
        <v>159</v>
      </c>
    </row>
    <row r="36" spans="1:12">
      <c r="B36" s="43" t="str">
        <f t="shared" si="0"/>
        <v>2601-1-9-4-3-0-0-0</v>
      </c>
      <c r="C36" s="3">
        <v>2601</v>
      </c>
      <c r="D36" s="3">
        <v>1</v>
      </c>
      <c r="E36" s="3">
        <v>9</v>
      </c>
      <c r="F36" s="3">
        <f t="shared" si="1"/>
        <v>4</v>
      </c>
      <c r="G36" s="3">
        <v>3</v>
      </c>
      <c r="H36" s="3">
        <v>0</v>
      </c>
      <c r="I36" s="3">
        <v>0</v>
      </c>
      <c r="J36" s="3">
        <v>0</v>
      </c>
      <c r="L36" t="s">
        <v>160</v>
      </c>
    </row>
    <row r="37" spans="1:12">
      <c r="B37" s="43" t="str">
        <f t="shared" si="0"/>
        <v>2602-1-10-5-3-0-0-0</v>
      </c>
      <c r="C37" s="3">
        <v>2602</v>
      </c>
      <c r="D37" s="3">
        <v>1</v>
      </c>
      <c r="E37" s="3">
        <v>10</v>
      </c>
      <c r="F37" s="3">
        <f t="shared" si="1"/>
        <v>5</v>
      </c>
      <c r="G37" s="3">
        <v>3</v>
      </c>
      <c r="H37" s="3">
        <v>0</v>
      </c>
      <c r="I37" s="3">
        <v>0</v>
      </c>
      <c r="J37" s="3">
        <v>0</v>
      </c>
      <c r="L37" t="s">
        <v>952</v>
      </c>
    </row>
    <row r="38" spans="1:12">
      <c r="B38" s="43" t="str">
        <f t="shared" si="0"/>
        <v>2603-1-11-6-3-0-0-0</v>
      </c>
      <c r="C38" s="3">
        <v>2603</v>
      </c>
      <c r="D38" s="3">
        <v>1</v>
      </c>
      <c r="E38" s="3">
        <v>11</v>
      </c>
      <c r="F38" s="3">
        <f t="shared" si="1"/>
        <v>6</v>
      </c>
      <c r="G38" s="3">
        <v>3</v>
      </c>
      <c r="H38" s="3">
        <v>0</v>
      </c>
      <c r="I38" s="3">
        <v>0</v>
      </c>
      <c r="J38" s="3">
        <v>0</v>
      </c>
      <c r="L38" t="s">
        <v>954</v>
      </c>
    </row>
    <row r="39" spans="1:12">
      <c r="B39" s="43" t="str">
        <f t="shared" si="0"/>
        <v>4119-1-12-7-3-0-0-0</v>
      </c>
      <c r="C39" s="3">
        <v>4119</v>
      </c>
      <c r="D39" s="3">
        <v>1</v>
      </c>
      <c r="E39" s="3">
        <v>12</v>
      </c>
      <c r="F39" s="3">
        <f t="shared" si="1"/>
        <v>7</v>
      </c>
      <c r="G39" s="3">
        <v>3</v>
      </c>
      <c r="H39" s="3">
        <v>0</v>
      </c>
      <c r="I39" s="3">
        <v>0</v>
      </c>
      <c r="J39" s="3">
        <v>0</v>
      </c>
      <c r="L39" t="s">
        <v>953</v>
      </c>
    </row>
    <row r="40" spans="1:12">
      <c r="B40" s="43" t="str">
        <f t="shared" si="0"/>
        <v>4120-1-13-8-3-0-0-0</v>
      </c>
      <c r="C40" s="3">
        <v>4120</v>
      </c>
      <c r="D40" s="3">
        <v>1</v>
      </c>
      <c r="E40" s="3">
        <v>13</v>
      </c>
      <c r="F40" s="3">
        <f t="shared" si="1"/>
        <v>8</v>
      </c>
      <c r="G40" s="3">
        <v>3</v>
      </c>
      <c r="H40" s="3">
        <v>0</v>
      </c>
      <c r="I40" s="3">
        <v>0</v>
      </c>
      <c r="J40" s="3">
        <v>0</v>
      </c>
      <c r="L40" t="s">
        <v>955</v>
      </c>
    </row>
    <row r="41" spans="1:12">
      <c r="B41" s="43" t="str">
        <f t="shared" si="0"/>
        <v>2984-1-14-9-3-0-0-0</v>
      </c>
      <c r="C41" s="3">
        <v>2984</v>
      </c>
      <c r="D41" s="3">
        <v>1</v>
      </c>
      <c r="E41" s="3">
        <v>14</v>
      </c>
      <c r="F41" s="3">
        <f t="shared" si="1"/>
        <v>9</v>
      </c>
      <c r="G41" s="3">
        <v>3</v>
      </c>
      <c r="H41" s="3">
        <v>0</v>
      </c>
      <c r="I41" s="3">
        <v>0</v>
      </c>
      <c r="J41" s="3">
        <v>0</v>
      </c>
      <c r="L41" t="s">
        <v>163</v>
      </c>
    </row>
    <row r="42" spans="1:12">
      <c r="B42" s="43" t="str">
        <f t="shared" si="0"/>
        <v>2985-1-15-10-3-0-0-0</v>
      </c>
      <c r="C42" s="3">
        <v>2985</v>
      </c>
      <c r="D42" s="3">
        <v>1</v>
      </c>
      <c r="E42" s="3">
        <v>15</v>
      </c>
      <c r="F42" s="3">
        <f t="shared" si="1"/>
        <v>10</v>
      </c>
      <c r="G42" s="3">
        <v>3</v>
      </c>
      <c r="H42" s="3">
        <v>0</v>
      </c>
      <c r="I42" s="3">
        <v>0</v>
      </c>
      <c r="J42" s="3">
        <v>0</v>
      </c>
      <c r="L42" t="s">
        <v>164</v>
      </c>
    </row>
    <row r="43" spans="1:12">
      <c r="D43" s="3"/>
    </row>
    <row r="44" spans="1:12">
      <c r="A44" s="60" t="s">
        <v>147</v>
      </c>
      <c r="D44" s="3">
        <v>2</v>
      </c>
      <c r="E44" s="3">
        <v>16</v>
      </c>
      <c r="F44" s="3">
        <f>F42+1</f>
        <v>11</v>
      </c>
      <c r="L44" t="s">
        <v>165</v>
      </c>
    </row>
    <row r="45" spans="1:12">
      <c r="D45" s="3"/>
      <c r="L45" t="s">
        <v>1123</v>
      </c>
    </row>
    <row r="46" spans="1:12">
      <c r="A46" s="60" t="s">
        <v>335</v>
      </c>
      <c r="D46" s="3"/>
      <c r="E46" s="3">
        <v>17</v>
      </c>
      <c r="F46" s="3">
        <f>F44+1</f>
        <v>12</v>
      </c>
      <c r="L46" t="s">
        <v>166</v>
      </c>
    </row>
    <row r="47" spans="1:12">
      <c r="D47" s="3"/>
      <c r="L47" t="s">
        <v>1123</v>
      </c>
    </row>
    <row r="48" spans="1:12">
      <c r="A48" s="60" t="s">
        <v>3</v>
      </c>
      <c r="D48" s="3"/>
      <c r="E48" s="3">
        <v>18</v>
      </c>
      <c r="F48" s="3">
        <f>F46+1</f>
        <v>13</v>
      </c>
      <c r="L48" t="s">
        <v>167</v>
      </c>
    </row>
    <row r="49" spans="4:12">
      <c r="D49" s="3"/>
      <c r="L49" t="s">
        <v>1123</v>
      </c>
    </row>
    <row r="50" spans="4:12">
      <c r="D50" s="3"/>
      <c r="E50" s="3">
        <v>19</v>
      </c>
      <c r="F50" s="3">
        <f>F48+1</f>
        <v>14</v>
      </c>
      <c r="L50" t="s">
        <v>168</v>
      </c>
    </row>
    <row r="51" spans="4:12">
      <c r="D51" s="3"/>
      <c r="L51" t="s">
        <v>1123</v>
      </c>
    </row>
    <row r="52" spans="4:12">
      <c r="D52" s="3"/>
      <c r="E52" s="3">
        <v>20</v>
      </c>
      <c r="F52" s="3">
        <f>F50+1</f>
        <v>15</v>
      </c>
      <c r="L52" t="s">
        <v>169</v>
      </c>
    </row>
    <row r="53" spans="4:12">
      <c r="D53" s="3"/>
      <c r="L53" t="s">
        <v>1123</v>
      </c>
    </row>
    <row r="54" spans="4:12">
      <c r="D54" s="3"/>
      <c r="E54" s="3">
        <v>21</v>
      </c>
      <c r="F54" s="3">
        <f>F52+1</f>
        <v>16</v>
      </c>
      <c r="L54" t="s">
        <v>170</v>
      </c>
    </row>
    <row r="55" spans="4:12">
      <c r="D55" s="3"/>
      <c r="L55" t="s">
        <v>1123</v>
      </c>
    </row>
    <row r="56" spans="4:12">
      <c r="D56" s="3"/>
      <c r="E56" s="3">
        <v>22</v>
      </c>
      <c r="F56" s="3">
        <f>F54+1</f>
        <v>17</v>
      </c>
      <c r="L56" t="s">
        <v>169</v>
      </c>
    </row>
    <row r="57" spans="4:12">
      <c r="D57" s="3"/>
      <c r="L57" t="s">
        <v>1123</v>
      </c>
    </row>
    <row r="58" spans="4:12">
      <c r="D58" s="3"/>
      <c r="E58" s="3">
        <v>23</v>
      </c>
      <c r="F58" s="3">
        <f>F56+1</f>
        <v>18</v>
      </c>
      <c r="L58" t="s">
        <v>171</v>
      </c>
    </row>
    <row r="59" spans="4:12">
      <c r="D59" s="3"/>
      <c r="L59" t="s">
        <v>1123</v>
      </c>
    </row>
    <row r="60" spans="4:12">
      <c r="D60" s="3"/>
      <c r="E60" s="3">
        <v>24</v>
      </c>
      <c r="F60" s="3">
        <f>F58+1</f>
        <v>19</v>
      </c>
      <c r="L60" t="s">
        <v>169</v>
      </c>
    </row>
    <row r="61" spans="4:12">
      <c r="D61" s="3"/>
      <c r="L61" t="s">
        <v>1123</v>
      </c>
    </row>
    <row r="62" spans="4:12">
      <c r="D62" s="3"/>
      <c r="E62" s="3">
        <v>25</v>
      </c>
      <c r="F62" s="3">
        <f>F60+1</f>
        <v>20</v>
      </c>
      <c r="L62" t="s">
        <v>172</v>
      </c>
    </row>
    <row r="63" spans="4:12">
      <c r="D63" s="3"/>
      <c r="L63" t="s">
        <v>1123</v>
      </c>
    </row>
    <row r="64" spans="4:12">
      <c r="D64" s="3"/>
      <c r="E64" s="3">
        <v>26</v>
      </c>
      <c r="F64" s="3">
        <f>F62+1</f>
        <v>21</v>
      </c>
      <c r="L64" t="s">
        <v>169</v>
      </c>
    </row>
    <row r="65" spans="4:12">
      <c r="D65" s="3"/>
      <c r="L65" t="s">
        <v>1123</v>
      </c>
    </row>
    <row r="66" spans="4:12">
      <c r="D66" s="3"/>
      <c r="E66" s="3">
        <v>27</v>
      </c>
      <c r="F66" s="3">
        <f>F64+1</f>
        <v>22</v>
      </c>
      <c r="L66" t="s">
        <v>175</v>
      </c>
    </row>
    <row r="67" spans="4:12">
      <c r="D67" s="3"/>
      <c r="L67" t="s">
        <v>1123</v>
      </c>
    </row>
    <row r="68" spans="4:12">
      <c r="D68" s="3"/>
      <c r="E68" s="3">
        <v>28</v>
      </c>
      <c r="F68" s="3">
        <f>F66+1</f>
        <v>23</v>
      </c>
      <c r="L68" t="s">
        <v>174</v>
      </c>
    </row>
    <row r="69" spans="4:12">
      <c r="D69" s="3"/>
      <c r="L69" t="s">
        <v>1123</v>
      </c>
    </row>
    <row r="70" spans="4:12">
      <c r="D70" s="3"/>
      <c r="E70" s="3">
        <v>29</v>
      </c>
      <c r="F70" s="3">
        <f>F68+1</f>
        <v>24</v>
      </c>
      <c r="L70" t="s">
        <v>956</v>
      </c>
    </row>
    <row r="71" spans="4:12">
      <c r="D71" s="3"/>
      <c r="L71" t="s">
        <v>1123</v>
      </c>
    </row>
    <row r="72" spans="4:12">
      <c r="D72" s="3"/>
      <c r="E72" s="3">
        <v>30</v>
      </c>
      <c r="F72" s="3">
        <f>F70+1</f>
        <v>25</v>
      </c>
      <c r="L72" t="s">
        <v>957</v>
      </c>
    </row>
    <row r="73" spans="4:12">
      <c r="D73" s="3"/>
      <c r="L73" t="s">
        <v>1123</v>
      </c>
    </row>
    <row r="74" spans="4:12">
      <c r="D74" s="3"/>
      <c r="E74" s="3">
        <v>31</v>
      </c>
      <c r="F74" s="3">
        <f>F72+1</f>
        <v>26</v>
      </c>
      <c r="L74" t="s">
        <v>180</v>
      </c>
    </row>
    <row r="75" spans="4:12">
      <c r="D75" s="3"/>
      <c r="L75" t="s">
        <v>1123</v>
      </c>
    </row>
    <row r="76" spans="4:12">
      <c r="D76" s="3"/>
      <c r="E76" s="3">
        <v>32</v>
      </c>
      <c r="F76" s="3">
        <f>F74+1</f>
        <v>27</v>
      </c>
      <c r="L76" t="s">
        <v>181</v>
      </c>
    </row>
    <row r="77" spans="4:12">
      <c r="D77" s="3"/>
      <c r="L77" t="s">
        <v>1123</v>
      </c>
    </row>
    <row r="78" spans="4:12">
      <c r="D78" s="3"/>
      <c r="E78" s="3">
        <v>33</v>
      </c>
      <c r="F78" s="3">
        <f>F76+1</f>
        <v>28</v>
      </c>
      <c r="L78" t="s">
        <v>182</v>
      </c>
    </row>
    <row r="79" spans="4:12">
      <c r="D79" s="3"/>
      <c r="L79" t="s">
        <v>1123</v>
      </c>
    </row>
    <row r="80" spans="4:12">
      <c r="D80" s="3"/>
      <c r="E80" s="3">
        <v>34</v>
      </c>
      <c r="F80" s="3">
        <f>F78+1</f>
        <v>29</v>
      </c>
      <c r="L80" t="s">
        <v>181</v>
      </c>
    </row>
    <row r="81" spans="1:12">
      <c r="D81" s="3"/>
      <c r="L81" t="s">
        <v>1123</v>
      </c>
    </row>
    <row r="82" spans="1:12">
      <c r="D82" s="3"/>
    </row>
    <row r="83" spans="1:12">
      <c r="A83" s="60" t="s">
        <v>149</v>
      </c>
      <c r="D83" s="3">
        <v>3</v>
      </c>
      <c r="F83" s="3">
        <f>F80+1</f>
        <v>30</v>
      </c>
      <c r="L83" t="s">
        <v>986</v>
      </c>
    </row>
    <row r="84" spans="1:12">
      <c r="A84" s="60" t="s">
        <v>336</v>
      </c>
      <c r="D84" s="3"/>
      <c r="F84" s="3">
        <f t="shared" si="1"/>
        <v>31</v>
      </c>
      <c r="L84" t="s">
        <v>191</v>
      </c>
    </row>
    <row r="85" spans="1:12">
      <c r="A85" s="60" t="s">
        <v>3</v>
      </c>
      <c r="D85" s="3"/>
      <c r="F85" s="3">
        <f t="shared" si="1"/>
        <v>32</v>
      </c>
      <c r="L85" t="s">
        <v>193</v>
      </c>
    </row>
    <row r="86" spans="1:12">
      <c r="D86" s="3"/>
      <c r="F86" s="3">
        <f t="shared" si="1"/>
        <v>33</v>
      </c>
      <c r="L86" t="s">
        <v>190</v>
      </c>
    </row>
    <row r="87" spans="1:12">
      <c r="D87" s="3"/>
      <c r="F87" s="3">
        <f t="shared" si="1"/>
        <v>34</v>
      </c>
      <c r="L87" t="s">
        <v>986</v>
      </c>
    </row>
    <row r="88" spans="1:12">
      <c r="D88" s="3"/>
      <c r="F88" s="3">
        <f t="shared" si="1"/>
        <v>35</v>
      </c>
      <c r="L88" t="s">
        <v>191</v>
      </c>
    </row>
    <row r="89" spans="1:12">
      <c r="D89" s="3"/>
      <c r="F89" s="3">
        <f t="shared" si="1"/>
        <v>36</v>
      </c>
      <c r="L89" t="s">
        <v>193</v>
      </c>
    </row>
    <row r="90" spans="1:12">
      <c r="D90" s="3"/>
      <c r="F90" s="3">
        <f t="shared" si="1"/>
        <v>37</v>
      </c>
      <c r="L90" t="s">
        <v>190</v>
      </c>
    </row>
    <row r="91" spans="1:12">
      <c r="D91" s="3"/>
      <c r="F91" s="3">
        <f t="shared" si="1"/>
        <v>38</v>
      </c>
      <c r="L91" t="s">
        <v>986</v>
      </c>
    </row>
    <row r="92" spans="1:12">
      <c r="D92" s="3"/>
      <c r="F92" s="3">
        <f t="shared" si="1"/>
        <v>39</v>
      </c>
      <c r="L92" t="s">
        <v>191</v>
      </c>
    </row>
    <row r="93" spans="1:12">
      <c r="D93" s="3"/>
      <c r="F93" s="3">
        <f t="shared" si="1"/>
        <v>40</v>
      </c>
      <c r="L93" t="s">
        <v>193</v>
      </c>
    </row>
    <row r="94" spans="1:12">
      <c r="D94" s="3"/>
      <c r="F94" s="3">
        <f t="shared" si="1"/>
        <v>41</v>
      </c>
      <c r="L94" t="s">
        <v>190</v>
      </c>
    </row>
    <row r="95" spans="1:12">
      <c r="D95" s="3"/>
      <c r="F95" s="3">
        <f t="shared" si="1"/>
        <v>42</v>
      </c>
      <c r="L95" t="s">
        <v>986</v>
      </c>
    </row>
    <row r="96" spans="1:12">
      <c r="D96" s="3"/>
      <c r="F96" s="3">
        <f t="shared" si="1"/>
        <v>43</v>
      </c>
      <c r="L96" t="s">
        <v>191</v>
      </c>
    </row>
    <row r="97" spans="1:12">
      <c r="D97" s="3"/>
      <c r="F97" s="3">
        <f t="shared" si="1"/>
        <v>44</v>
      </c>
      <c r="L97" t="s">
        <v>193</v>
      </c>
    </row>
    <row r="98" spans="1:12">
      <c r="D98" s="3"/>
      <c r="F98" s="3">
        <f t="shared" si="1"/>
        <v>45</v>
      </c>
      <c r="L98" t="s">
        <v>190</v>
      </c>
    </row>
    <row r="99" spans="1:12">
      <c r="D99" s="3"/>
      <c r="F99" s="3">
        <f t="shared" si="1"/>
        <v>46</v>
      </c>
      <c r="L99" t="s">
        <v>986</v>
      </c>
    </row>
    <row r="100" spans="1:12">
      <c r="D100" s="3"/>
      <c r="F100" s="3">
        <f t="shared" si="1"/>
        <v>47</v>
      </c>
      <c r="L100" t="s">
        <v>191</v>
      </c>
    </row>
    <row r="101" spans="1:12">
      <c r="D101" s="3"/>
      <c r="F101" s="3">
        <f t="shared" si="1"/>
        <v>48</v>
      </c>
      <c r="L101" t="s">
        <v>193</v>
      </c>
    </row>
    <row r="102" spans="1:12">
      <c r="D102" s="3"/>
      <c r="F102" s="3">
        <f t="shared" si="1"/>
        <v>49</v>
      </c>
      <c r="L102" t="s">
        <v>190</v>
      </c>
    </row>
    <row r="103" spans="1:12">
      <c r="D103" s="3"/>
      <c r="F103" s="3">
        <f t="shared" si="1"/>
        <v>50</v>
      </c>
      <c r="L103" t="s">
        <v>986</v>
      </c>
    </row>
    <row r="104" spans="1:12">
      <c r="D104" s="3"/>
      <c r="F104" s="3">
        <f t="shared" si="1"/>
        <v>51</v>
      </c>
      <c r="L104" t="s">
        <v>191</v>
      </c>
    </row>
    <row r="105" spans="1:12">
      <c r="D105" s="3"/>
      <c r="F105" s="3">
        <f t="shared" si="1"/>
        <v>52</v>
      </c>
      <c r="L105" t="s">
        <v>193</v>
      </c>
    </row>
    <row r="106" spans="1:12">
      <c r="D106" s="3"/>
      <c r="F106" s="3">
        <f t="shared" si="1"/>
        <v>53</v>
      </c>
      <c r="L106" t="s">
        <v>190</v>
      </c>
    </row>
    <row r="107" spans="1:12">
      <c r="A107" s="60" t="s">
        <v>151</v>
      </c>
      <c r="D107" s="3">
        <v>6</v>
      </c>
      <c r="F107" s="3">
        <f t="shared" si="1"/>
        <v>54</v>
      </c>
      <c r="L107" t="s">
        <v>961</v>
      </c>
    </row>
    <row r="108" spans="1:12">
      <c r="A108" s="60" t="s">
        <v>245</v>
      </c>
      <c r="D108" s="3"/>
      <c r="F108" s="3">
        <f t="shared" si="1"/>
        <v>55</v>
      </c>
      <c r="L108" t="s">
        <v>962</v>
      </c>
    </row>
    <row r="109" spans="1:12">
      <c r="A109" s="60" t="s">
        <v>243</v>
      </c>
      <c r="D109" s="3"/>
      <c r="F109" s="3">
        <f t="shared" si="1"/>
        <v>56</v>
      </c>
      <c r="L109" t="s">
        <v>963</v>
      </c>
    </row>
    <row r="110" spans="1:12">
      <c r="D110" s="3"/>
      <c r="F110" s="3">
        <f t="shared" si="1"/>
        <v>57</v>
      </c>
      <c r="L110" t="s">
        <v>964</v>
      </c>
    </row>
    <row r="111" spans="1:12">
      <c r="D111" s="3"/>
      <c r="F111" s="3">
        <f t="shared" si="1"/>
        <v>58</v>
      </c>
      <c r="L111" t="s">
        <v>965</v>
      </c>
    </row>
    <row r="112" spans="1:12">
      <c r="D112" s="3"/>
      <c r="F112" s="3">
        <f t="shared" si="1"/>
        <v>59</v>
      </c>
      <c r="L112" t="s">
        <v>966</v>
      </c>
    </row>
    <row r="113" spans="1:12">
      <c r="A113" s="60" t="s">
        <v>201</v>
      </c>
      <c r="D113" s="3">
        <v>7</v>
      </c>
      <c r="F113" s="3">
        <f t="shared" si="1"/>
        <v>60</v>
      </c>
      <c r="L113" t="s">
        <v>958</v>
      </c>
    </row>
    <row r="114" spans="1:12">
      <c r="A114" s="60" t="s">
        <v>336</v>
      </c>
      <c r="D114" s="3"/>
      <c r="F114" s="3">
        <f t="shared" si="1"/>
        <v>61</v>
      </c>
      <c r="L114" t="s">
        <v>959</v>
      </c>
    </row>
    <row r="115" spans="1:12">
      <c r="A115" s="60" t="s">
        <v>243</v>
      </c>
      <c r="D115" s="3"/>
      <c r="F115" s="3">
        <f t="shared" si="1"/>
        <v>62</v>
      </c>
      <c r="L115" t="s">
        <v>960</v>
      </c>
    </row>
    <row r="116" spans="1:12">
      <c r="D116" s="3"/>
      <c r="F116" s="3">
        <f t="shared" si="1"/>
        <v>63</v>
      </c>
      <c r="L116" t="s">
        <v>190</v>
      </c>
    </row>
    <row r="117" spans="1:12">
      <c r="D117" s="3">
        <v>8</v>
      </c>
      <c r="F117" s="3">
        <f t="shared" si="1"/>
        <v>64</v>
      </c>
      <c r="L117" t="s">
        <v>958</v>
      </c>
    </row>
    <row r="118" spans="1:12">
      <c r="D118" s="3"/>
      <c r="F118" s="3">
        <f t="shared" si="1"/>
        <v>65</v>
      </c>
      <c r="L118" t="s">
        <v>959</v>
      </c>
    </row>
    <row r="119" spans="1:12">
      <c r="D119" s="3"/>
      <c r="F119" s="3">
        <f t="shared" si="1"/>
        <v>66</v>
      </c>
      <c r="L119" t="s">
        <v>960</v>
      </c>
    </row>
    <row r="120" spans="1:12">
      <c r="D120" s="3"/>
      <c r="F120" s="3">
        <f t="shared" ref="F120:F168" si="2">F119+1</f>
        <v>67</v>
      </c>
      <c r="L120" t="s">
        <v>190</v>
      </c>
    </row>
    <row r="121" spans="1:12">
      <c r="D121" s="3">
        <v>9</v>
      </c>
      <c r="F121" s="3">
        <f t="shared" si="2"/>
        <v>68</v>
      </c>
      <c r="L121" t="s">
        <v>958</v>
      </c>
    </row>
    <row r="122" spans="1:12">
      <c r="D122" s="3"/>
      <c r="F122" s="3">
        <f t="shared" si="2"/>
        <v>69</v>
      </c>
      <c r="L122" t="s">
        <v>959</v>
      </c>
    </row>
    <row r="123" spans="1:12">
      <c r="D123" s="3"/>
      <c r="F123" s="3">
        <f t="shared" si="2"/>
        <v>70</v>
      </c>
      <c r="L123" t="s">
        <v>960</v>
      </c>
    </row>
    <row r="124" spans="1:12">
      <c r="D124" s="3"/>
      <c r="F124" s="3">
        <f t="shared" si="2"/>
        <v>71</v>
      </c>
      <c r="L124" t="s">
        <v>190</v>
      </c>
    </row>
    <row r="125" spans="1:12">
      <c r="D125" s="3">
        <v>10</v>
      </c>
      <c r="F125" s="3">
        <f t="shared" si="2"/>
        <v>72</v>
      </c>
      <c r="L125" t="s">
        <v>958</v>
      </c>
    </row>
    <row r="126" spans="1:12">
      <c r="D126" s="3"/>
      <c r="F126" s="3">
        <f t="shared" si="2"/>
        <v>73</v>
      </c>
      <c r="L126" t="s">
        <v>959</v>
      </c>
    </row>
    <row r="127" spans="1:12">
      <c r="D127" s="3"/>
      <c r="F127" s="3">
        <f t="shared" si="2"/>
        <v>74</v>
      </c>
      <c r="L127" t="s">
        <v>960</v>
      </c>
    </row>
    <row r="128" spans="1:12">
      <c r="D128" s="3"/>
      <c r="F128" s="3">
        <f t="shared" si="2"/>
        <v>75</v>
      </c>
      <c r="L128" t="s">
        <v>190</v>
      </c>
    </row>
    <row r="129" spans="1:12">
      <c r="D129" s="3">
        <v>11</v>
      </c>
      <c r="F129" s="3">
        <f t="shared" si="2"/>
        <v>76</v>
      </c>
      <c r="L129" t="s">
        <v>958</v>
      </c>
    </row>
    <row r="130" spans="1:12">
      <c r="D130" s="3"/>
      <c r="F130" s="3">
        <f t="shared" si="2"/>
        <v>77</v>
      </c>
      <c r="L130" t="s">
        <v>959</v>
      </c>
    </row>
    <row r="131" spans="1:12">
      <c r="D131" s="3"/>
      <c r="F131" s="3">
        <f t="shared" si="2"/>
        <v>78</v>
      </c>
      <c r="L131" t="s">
        <v>960</v>
      </c>
    </row>
    <row r="132" spans="1:12">
      <c r="D132" s="3"/>
      <c r="F132" s="3">
        <f t="shared" si="2"/>
        <v>79</v>
      </c>
      <c r="L132" t="s">
        <v>190</v>
      </c>
    </row>
    <row r="133" spans="1:12">
      <c r="D133" s="3">
        <v>12</v>
      </c>
      <c r="F133" s="3">
        <f t="shared" si="2"/>
        <v>80</v>
      </c>
      <c r="L133" t="s">
        <v>958</v>
      </c>
    </row>
    <row r="134" spans="1:12">
      <c r="D134" s="3"/>
      <c r="F134" s="3">
        <f t="shared" si="2"/>
        <v>81</v>
      </c>
      <c r="L134" t="s">
        <v>959</v>
      </c>
    </row>
    <row r="135" spans="1:12">
      <c r="D135" s="3"/>
      <c r="F135" s="3">
        <f t="shared" si="2"/>
        <v>82</v>
      </c>
      <c r="L135" t="s">
        <v>960</v>
      </c>
    </row>
    <row r="136" spans="1:12">
      <c r="D136" s="3"/>
      <c r="F136" s="3">
        <f t="shared" si="2"/>
        <v>83</v>
      </c>
      <c r="L136" t="s">
        <v>190</v>
      </c>
    </row>
    <row r="137" spans="1:12">
      <c r="A137" s="60" t="s">
        <v>206</v>
      </c>
      <c r="D137" s="3">
        <v>13</v>
      </c>
      <c r="F137" s="3">
        <f t="shared" si="2"/>
        <v>84</v>
      </c>
      <c r="L137" t="s">
        <v>967</v>
      </c>
    </row>
    <row r="138" spans="1:12">
      <c r="A138" s="60" t="s">
        <v>335</v>
      </c>
      <c r="D138" s="3"/>
      <c r="F138" s="3">
        <f t="shared" si="2"/>
        <v>85</v>
      </c>
      <c r="L138" t="s">
        <v>968</v>
      </c>
    </row>
    <row r="139" spans="1:12">
      <c r="A139" s="60" t="s">
        <v>244</v>
      </c>
      <c r="D139" s="3">
        <v>14</v>
      </c>
      <c r="F139" s="3">
        <f t="shared" si="2"/>
        <v>86</v>
      </c>
      <c r="L139" t="s">
        <v>969</v>
      </c>
    </row>
    <row r="140" spans="1:12">
      <c r="D140" s="3"/>
      <c r="F140" s="3">
        <f t="shared" si="2"/>
        <v>87</v>
      </c>
      <c r="L140" t="s">
        <v>970</v>
      </c>
    </row>
    <row r="141" spans="1:12">
      <c r="D141" s="3">
        <v>15</v>
      </c>
      <c r="F141" s="3">
        <f t="shared" si="2"/>
        <v>88</v>
      </c>
      <c r="L141" t="s">
        <v>971</v>
      </c>
    </row>
    <row r="142" spans="1:12">
      <c r="D142" s="3"/>
      <c r="F142" s="3">
        <f t="shared" si="2"/>
        <v>89</v>
      </c>
      <c r="L142" t="s">
        <v>972</v>
      </c>
    </row>
    <row r="143" spans="1:12">
      <c r="D143" s="3">
        <v>16</v>
      </c>
      <c r="F143" s="3">
        <f t="shared" si="2"/>
        <v>90</v>
      </c>
      <c r="L143" t="s">
        <v>982</v>
      </c>
    </row>
    <row r="144" spans="1:12">
      <c r="D144" s="3"/>
      <c r="F144" s="3">
        <f t="shared" si="2"/>
        <v>91</v>
      </c>
      <c r="L144" t="s">
        <v>983</v>
      </c>
    </row>
    <row r="145" spans="1:12">
      <c r="A145" s="60" t="s">
        <v>337</v>
      </c>
      <c r="D145" s="3">
        <v>17</v>
      </c>
      <c r="F145" s="3">
        <f t="shared" si="2"/>
        <v>92</v>
      </c>
      <c r="L145" t="s">
        <v>973</v>
      </c>
    </row>
    <row r="146" spans="1:12">
      <c r="A146" s="60" t="s">
        <v>336</v>
      </c>
      <c r="D146" s="3"/>
      <c r="F146" s="3">
        <f t="shared" si="2"/>
        <v>93</v>
      </c>
      <c r="L146" t="s">
        <v>190</v>
      </c>
    </row>
    <row r="147" spans="1:12">
      <c r="A147" s="60" t="s">
        <v>244</v>
      </c>
      <c r="D147" s="3"/>
      <c r="F147" s="3">
        <f t="shared" si="2"/>
        <v>94</v>
      </c>
      <c r="L147" t="s">
        <v>974</v>
      </c>
    </row>
    <row r="148" spans="1:12">
      <c r="D148" s="3"/>
      <c r="F148" s="3">
        <f t="shared" si="2"/>
        <v>95</v>
      </c>
      <c r="L148" t="s">
        <v>975</v>
      </c>
    </row>
    <row r="149" spans="1:12">
      <c r="D149" s="3">
        <v>18</v>
      </c>
      <c r="F149" s="3">
        <f t="shared" si="2"/>
        <v>96</v>
      </c>
      <c r="L149" t="s">
        <v>973</v>
      </c>
    </row>
    <row r="150" spans="1:12">
      <c r="D150" s="3"/>
      <c r="F150" s="3">
        <f t="shared" si="2"/>
        <v>97</v>
      </c>
      <c r="L150" t="s">
        <v>190</v>
      </c>
    </row>
    <row r="151" spans="1:12">
      <c r="D151" s="3"/>
      <c r="F151" s="3">
        <f t="shared" si="2"/>
        <v>98</v>
      </c>
      <c r="L151" t="s">
        <v>974</v>
      </c>
    </row>
    <row r="152" spans="1:12">
      <c r="D152" s="3"/>
      <c r="F152" s="3">
        <f t="shared" si="2"/>
        <v>99</v>
      </c>
      <c r="L152" t="s">
        <v>975</v>
      </c>
    </row>
    <row r="153" spans="1:12">
      <c r="D153" s="3">
        <v>19</v>
      </c>
      <c r="F153" s="3">
        <f t="shared" si="2"/>
        <v>100</v>
      </c>
      <c r="L153" t="s">
        <v>973</v>
      </c>
    </row>
    <row r="154" spans="1:12">
      <c r="D154" s="3"/>
      <c r="F154" s="3">
        <f t="shared" si="2"/>
        <v>101</v>
      </c>
      <c r="L154" t="s">
        <v>190</v>
      </c>
    </row>
    <row r="155" spans="1:12">
      <c r="D155" s="3"/>
      <c r="F155" s="3">
        <f t="shared" si="2"/>
        <v>102</v>
      </c>
      <c r="L155" t="s">
        <v>974</v>
      </c>
    </row>
    <row r="156" spans="1:12">
      <c r="D156" s="3"/>
      <c r="F156" s="3">
        <f t="shared" si="2"/>
        <v>103</v>
      </c>
      <c r="L156" t="s">
        <v>975</v>
      </c>
    </row>
    <row r="157" spans="1:12">
      <c r="D157" s="3">
        <v>20</v>
      </c>
      <c r="F157" s="3">
        <f t="shared" si="2"/>
        <v>104</v>
      </c>
      <c r="L157" t="s">
        <v>973</v>
      </c>
    </row>
    <row r="158" spans="1:12">
      <c r="D158" s="3"/>
      <c r="F158" s="3">
        <f t="shared" si="2"/>
        <v>105</v>
      </c>
      <c r="L158" t="s">
        <v>190</v>
      </c>
    </row>
    <row r="159" spans="1:12">
      <c r="D159" s="3"/>
      <c r="F159" s="3">
        <f t="shared" si="2"/>
        <v>106</v>
      </c>
      <c r="L159" t="s">
        <v>974</v>
      </c>
    </row>
    <row r="160" spans="1:12">
      <c r="D160" s="3"/>
      <c r="F160" s="3">
        <f t="shared" si="2"/>
        <v>107</v>
      </c>
      <c r="L160" t="s">
        <v>975</v>
      </c>
    </row>
    <row r="161" spans="1:19">
      <c r="D161" s="3">
        <v>21</v>
      </c>
      <c r="F161" s="3">
        <f t="shared" si="2"/>
        <v>108</v>
      </c>
      <c r="L161" t="s">
        <v>973</v>
      </c>
    </row>
    <row r="162" spans="1:19">
      <c r="D162" s="3"/>
      <c r="F162" s="3">
        <f t="shared" si="2"/>
        <v>109</v>
      </c>
      <c r="L162" t="s">
        <v>190</v>
      </c>
    </row>
    <row r="163" spans="1:19">
      <c r="D163" s="3"/>
      <c r="F163" s="3">
        <f t="shared" si="2"/>
        <v>110</v>
      </c>
      <c r="L163" t="s">
        <v>974</v>
      </c>
    </row>
    <row r="164" spans="1:19">
      <c r="D164" s="3"/>
      <c r="F164" s="3">
        <f t="shared" si="2"/>
        <v>111</v>
      </c>
      <c r="L164" t="s">
        <v>975</v>
      </c>
    </row>
    <row r="165" spans="1:19">
      <c r="D165" s="3">
        <v>22</v>
      </c>
      <c r="F165" s="3">
        <f t="shared" si="2"/>
        <v>112</v>
      </c>
      <c r="L165" t="s">
        <v>973</v>
      </c>
    </row>
    <row r="166" spans="1:19">
      <c r="D166" s="3"/>
      <c r="F166" s="3">
        <f t="shared" si="2"/>
        <v>113</v>
      </c>
      <c r="L166" t="s">
        <v>190</v>
      </c>
    </row>
    <row r="167" spans="1:19">
      <c r="D167" s="3"/>
      <c r="F167" s="3">
        <f t="shared" si="2"/>
        <v>114</v>
      </c>
      <c r="L167" t="s">
        <v>974</v>
      </c>
    </row>
    <row r="168" spans="1:19">
      <c r="D168" s="3"/>
      <c r="F168" s="3">
        <f t="shared" si="2"/>
        <v>115</v>
      </c>
      <c r="L168" t="s">
        <v>975</v>
      </c>
    </row>
    <row r="171" spans="1:19">
      <c r="A171" s="60" t="s">
        <v>152</v>
      </c>
      <c r="B171" s="59"/>
      <c r="C171" s="59"/>
      <c r="D171" s="60"/>
      <c r="F171" s="60"/>
      <c r="G171" s="60"/>
      <c r="H171" s="60"/>
      <c r="I171" s="60"/>
      <c r="J171" s="60"/>
      <c r="K171" s="60"/>
      <c r="L171" s="61"/>
    </row>
    <row r="175" spans="1:19">
      <c r="A175" s="60" t="s">
        <v>336</v>
      </c>
      <c r="M175" s="3"/>
      <c r="N175" s="3"/>
      <c r="O175" s="3"/>
      <c r="P175" s="3"/>
      <c r="Q175" s="3"/>
      <c r="R175" s="3"/>
      <c r="S175" s="3"/>
    </row>
    <row r="176" spans="1:19">
      <c r="M176" s="3"/>
      <c r="N176" s="2"/>
      <c r="O176" s="2"/>
      <c r="P176" s="2"/>
      <c r="Q176" s="3"/>
      <c r="R176" s="3"/>
      <c r="S176" s="3"/>
    </row>
    <row r="177" spans="1:19">
      <c r="A177" s="60" t="s">
        <v>981</v>
      </c>
      <c r="M177" s="3"/>
      <c r="N177" s="3"/>
      <c r="O177" s="3"/>
      <c r="P177" s="3"/>
      <c r="Q177" s="3"/>
      <c r="R177" s="3"/>
      <c r="S177" s="3"/>
    </row>
    <row r="178" spans="1:19">
      <c r="M178" s="3"/>
      <c r="N178" s="3"/>
      <c r="O178" s="3"/>
      <c r="P178" s="3"/>
      <c r="Q178" s="3"/>
      <c r="R178" s="3"/>
      <c r="S178" s="3"/>
    </row>
    <row r="179" spans="1:19">
      <c r="M179" s="3"/>
      <c r="N179" s="3"/>
      <c r="O179" s="3"/>
      <c r="P179" s="3"/>
      <c r="Q179" s="3"/>
      <c r="R179" s="3"/>
      <c r="S179" s="3"/>
    </row>
    <row r="180" spans="1:19">
      <c r="M180" s="3"/>
      <c r="N180" s="3"/>
      <c r="O180" s="3"/>
      <c r="P180" s="3"/>
      <c r="Q180" s="3"/>
      <c r="R180" s="3"/>
      <c r="S180" s="3"/>
    </row>
    <row r="181" spans="1:19">
      <c r="M181" s="3"/>
      <c r="N181" s="3"/>
      <c r="O181" s="3"/>
      <c r="P181" s="3"/>
      <c r="Q181" s="3"/>
      <c r="R181" s="3"/>
      <c r="S181" s="3"/>
    </row>
    <row r="182" spans="1:19">
      <c r="M182" s="3"/>
      <c r="N182" s="3"/>
      <c r="O182" s="3"/>
      <c r="P182" s="3"/>
      <c r="Q182" s="3"/>
      <c r="R182" s="3"/>
      <c r="S182" s="3"/>
    </row>
    <row r="183" spans="1:19">
      <c r="M183" s="3"/>
      <c r="N183" s="3"/>
      <c r="O183" s="3"/>
      <c r="P183" s="3"/>
      <c r="Q183" s="3"/>
      <c r="R183" s="3"/>
      <c r="S183" s="3"/>
    </row>
    <row r="184" spans="1:19">
      <c r="M184" s="3"/>
      <c r="N184" s="3"/>
      <c r="O184" s="3"/>
      <c r="P184" s="3"/>
      <c r="Q184" s="3"/>
      <c r="R184" s="3"/>
      <c r="S184" s="3"/>
    </row>
    <row r="185" spans="1:19">
      <c r="M185" s="3"/>
      <c r="N185" s="3"/>
      <c r="O185" s="3"/>
      <c r="P185" s="3"/>
      <c r="Q185" s="3"/>
      <c r="R185" s="3"/>
      <c r="S185" s="3"/>
    </row>
    <row r="186" spans="1:19">
      <c r="M186" s="3"/>
      <c r="N186" s="3"/>
      <c r="O186" s="3"/>
      <c r="P186" s="3"/>
      <c r="Q186" s="3"/>
      <c r="R186" s="3"/>
      <c r="S186" s="3"/>
    </row>
    <row r="187" spans="1:19">
      <c r="M187" s="3"/>
      <c r="N187" s="3"/>
      <c r="O187" s="3"/>
      <c r="P187" s="3"/>
      <c r="Q187" s="3"/>
      <c r="R187" s="3"/>
      <c r="S187" s="3"/>
    </row>
    <row r="190" spans="1:19">
      <c r="M190" s="3"/>
      <c r="N190" s="3"/>
      <c r="O190" s="3"/>
      <c r="P190" s="3"/>
      <c r="Q190" s="3"/>
      <c r="R190" s="3"/>
      <c r="S190" s="3"/>
    </row>
    <row r="191" spans="1:19">
      <c r="M191" s="3"/>
      <c r="N191" s="3"/>
      <c r="O191" s="3"/>
      <c r="P191" s="3"/>
      <c r="Q191" s="3"/>
      <c r="R191" s="3"/>
      <c r="S191" s="3"/>
    </row>
    <row r="192" spans="1:19">
      <c r="M192" s="3"/>
      <c r="N192" s="3"/>
      <c r="O192" s="3"/>
      <c r="P192" s="3"/>
      <c r="Q192" s="3"/>
      <c r="R192" s="3"/>
      <c r="S192" s="3"/>
    </row>
    <row r="193" spans="11:19">
      <c r="M193" s="3"/>
      <c r="N193" s="3"/>
      <c r="O193" s="3"/>
      <c r="P193" s="3"/>
      <c r="Q193" s="3"/>
      <c r="R193" s="3"/>
      <c r="S193" s="3"/>
    </row>
    <row r="194" spans="11:19">
      <c r="M194" s="3"/>
      <c r="N194" s="3"/>
      <c r="O194" s="3"/>
      <c r="P194" s="3"/>
      <c r="Q194" s="3"/>
      <c r="R194" s="3"/>
      <c r="S194" s="3"/>
    </row>
    <row r="195" spans="11:19">
      <c r="M195" s="3"/>
      <c r="N195" s="3"/>
      <c r="O195" s="3"/>
      <c r="P195" s="3"/>
      <c r="Q195" s="3"/>
      <c r="R195" s="3"/>
      <c r="S195" s="3"/>
    </row>
    <row r="204" spans="11:19">
      <c r="K204" s="3">
        <v>45</v>
      </c>
    </row>
    <row r="205" spans="11:19">
      <c r="K205" s="3">
        <f>K204+90</f>
        <v>135</v>
      </c>
    </row>
    <row r="206" spans="11:19">
      <c r="K206" s="3">
        <f t="shared" ref="K206:K207" si="3">K205+90</f>
        <v>225</v>
      </c>
    </row>
    <row r="207" spans="11:19">
      <c r="K207" s="3">
        <f t="shared" si="3"/>
        <v>315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9F7F-6850-4FF6-A252-4E70ABA913FC}">
  <dimension ref="A1:E320"/>
  <sheetViews>
    <sheetView workbookViewId="0">
      <selection activeCell="I9" sqref="I9"/>
    </sheetView>
  </sheetViews>
  <sheetFormatPr defaultRowHeight="14.5"/>
  <cols>
    <col min="1" max="3" width="8.7265625" style="3"/>
    <col min="4" max="4" width="13.453125" bestFit="1" customWidth="1"/>
    <col min="8" max="8" width="11" bestFit="1" customWidth="1"/>
  </cols>
  <sheetData>
    <row r="1" spans="1:5">
      <c r="A1" s="60" t="s">
        <v>152</v>
      </c>
      <c r="B1" s="60" t="s">
        <v>1124</v>
      </c>
      <c r="C1" s="60" t="s">
        <v>1126</v>
      </c>
      <c r="D1" s="60" t="s">
        <v>1127</v>
      </c>
      <c r="E1" s="60" t="s">
        <v>154</v>
      </c>
    </row>
    <row r="2" spans="1:5">
      <c r="A2" s="3">
        <v>1</v>
      </c>
      <c r="B2" s="3">
        <v>1</v>
      </c>
      <c r="C2" s="3">
        <v>2571</v>
      </c>
      <c r="D2" t="s">
        <v>1128</v>
      </c>
    </row>
    <row r="3" spans="1:5">
      <c r="B3" s="3">
        <v>2</v>
      </c>
      <c r="C3" s="3">
        <v>2574</v>
      </c>
      <c r="D3" t="s">
        <v>1129</v>
      </c>
    </row>
    <row r="4" spans="1:5">
      <c r="B4" s="3">
        <v>3</v>
      </c>
      <c r="C4" s="3">
        <v>2577</v>
      </c>
      <c r="D4" t="s">
        <v>1130</v>
      </c>
    </row>
    <row r="5" spans="1:5">
      <c r="B5" s="3">
        <v>4</v>
      </c>
      <c r="C5" s="3">
        <v>2580</v>
      </c>
      <c r="D5" t="s">
        <v>1131</v>
      </c>
    </row>
    <row r="6" spans="1:5">
      <c r="B6" s="3">
        <v>5</v>
      </c>
      <c r="C6" s="3">
        <v>2583</v>
      </c>
      <c r="D6" t="s">
        <v>1132</v>
      </c>
    </row>
    <row r="7" spans="1:5">
      <c r="B7" s="3">
        <v>6</v>
      </c>
      <c r="C7" s="3">
        <v>2592</v>
      </c>
      <c r="D7" t="s">
        <v>1134</v>
      </c>
      <c r="E7" t="s">
        <v>155</v>
      </c>
    </row>
    <row r="8" spans="1:5">
      <c r="B8" s="3">
        <v>7</v>
      </c>
      <c r="C8" s="3">
        <v>2596</v>
      </c>
      <c r="D8" t="s">
        <v>1135</v>
      </c>
      <c r="E8" t="s">
        <v>158</v>
      </c>
    </row>
    <row r="9" spans="1:5">
      <c r="B9" s="3">
        <v>8</v>
      </c>
      <c r="C9" s="3">
        <v>2598</v>
      </c>
      <c r="D9" t="s">
        <v>1136</v>
      </c>
      <c r="E9" t="s">
        <v>1133</v>
      </c>
    </row>
    <row r="10" spans="1:5">
      <c r="B10" s="3">
        <v>9</v>
      </c>
      <c r="C10" s="3">
        <v>2601</v>
      </c>
      <c r="D10" t="s">
        <v>1137</v>
      </c>
      <c r="E10" t="s">
        <v>160</v>
      </c>
    </row>
    <row r="11" spans="1:5">
      <c r="B11" s="3">
        <v>10</v>
      </c>
      <c r="C11" s="3">
        <v>2602</v>
      </c>
      <c r="D11" t="s">
        <v>1138</v>
      </c>
      <c r="E11" t="s">
        <v>952</v>
      </c>
    </row>
    <row r="12" spans="1:5">
      <c r="B12" s="3">
        <v>11</v>
      </c>
      <c r="C12" s="3">
        <v>4120</v>
      </c>
      <c r="D12" t="s">
        <v>1139</v>
      </c>
      <c r="E12" t="s">
        <v>954</v>
      </c>
    </row>
    <row r="13" spans="1:5">
      <c r="B13" s="3">
        <v>12</v>
      </c>
      <c r="C13" s="3">
        <v>4119</v>
      </c>
      <c r="D13" t="s">
        <v>1140</v>
      </c>
      <c r="E13" t="s">
        <v>953</v>
      </c>
    </row>
    <row r="14" spans="1:5">
      <c r="B14" s="3">
        <v>13</v>
      </c>
      <c r="C14" s="3">
        <v>2410</v>
      </c>
      <c r="D14" t="s">
        <v>1141</v>
      </c>
      <c r="E14" t="s">
        <v>955</v>
      </c>
    </row>
    <row r="15" spans="1:5">
      <c r="B15" s="3">
        <v>14</v>
      </c>
      <c r="C15" s="3">
        <v>2984</v>
      </c>
      <c r="D15" t="s">
        <v>1142</v>
      </c>
      <c r="E15" t="s">
        <v>163</v>
      </c>
    </row>
    <row r="16" spans="1:5">
      <c r="B16" s="3">
        <v>15</v>
      </c>
      <c r="C16" s="3">
        <v>2985</v>
      </c>
      <c r="D16" t="s">
        <v>1143</v>
      </c>
      <c r="E16" t="s">
        <v>164</v>
      </c>
    </row>
    <row r="17" spans="1:5">
      <c r="A17" s="3">
        <v>2</v>
      </c>
      <c r="B17" s="3">
        <v>16</v>
      </c>
      <c r="C17" s="3">
        <v>2519</v>
      </c>
      <c r="D17" t="s">
        <v>1163</v>
      </c>
    </row>
    <row r="18" spans="1:5">
      <c r="B18" s="3">
        <v>17</v>
      </c>
      <c r="C18" s="3">
        <v>2520</v>
      </c>
      <c r="D18" t="s">
        <v>1164</v>
      </c>
    </row>
    <row r="19" spans="1:5">
      <c r="B19" s="3">
        <v>18</v>
      </c>
      <c r="C19" s="3">
        <v>2521</v>
      </c>
      <c r="D19" t="s">
        <v>1145</v>
      </c>
    </row>
    <row r="20" spans="1:5">
      <c r="B20" s="3">
        <v>19</v>
      </c>
      <c r="C20" s="3">
        <v>2522</v>
      </c>
      <c r="D20" t="s">
        <v>1165</v>
      </c>
    </row>
    <row r="21" spans="1:5">
      <c r="B21" s="3">
        <v>20</v>
      </c>
      <c r="C21" s="3">
        <v>2523</v>
      </c>
      <c r="D21" t="s">
        <v>1144</v>
      </c>
    </row>
    <row r="22" spans="1:5">
      <c r="B22" s="3">
        <v>21</v>
      </c>
      <c r="C22" s="3">
        <v>2529</v>
      </c>
      <c r="D22" t="s">
        <v>1166</v>
      </c>
      <c r="E22" t="s">
        <v>165</v>
      </c>
    </row>
    <row r="23" spans="1:5">
      <c r="B23" s="3">
        <v>22</v>
      </c>
      <c r="C23" s="3">
        <v>2627</v>
      </c>
      <c r="D23" t="str">
        <f>D22&amp;"C"</f>
        <v>RFR-OrderC</v>
      </c>
    </row>
    <row r="24" spans="1:5">
      <c r="B24" s="3">
        <v>23</v>
      </c>
      <c r="C24" s="3">
        <v>2530</v>
      </c>
      <c r="D24" t="s">
        <v>1145</v>
      </c>
      <c r="E24" t="s">
        <v>1167</v>
      </c>
    </row>
    <row r="25" spans="1:5">
      <c r="B25" s="3">
        <v>24</v>
      </c>
      <c r="C25" s="3">
        <v>2628</v>
      </c>
      <c r="D25" t="str">
        <f>D24&amp;"C"</f>
        <v>RFR-TimeC</v>
      </c>
    </row>
    <row r="26" spans="1:5">
      <c r="B26" s="3">
        <v>25</v>
      </c>
      <c r="C26" s="3">
        <v>2531</v>
      </c>
      <c r="D26" t="s">
        <v>1146</v>
      </c>
      <c r="E26" t="s">
        <v>1168</v>
      </c>
    </row>
    <row r="27" spans="1:5">
      <c r="B27" s="3">
        <v>26</v>
      </c>
      <c r="C27" s="3">
        <v>2629</v>
      </c>
      <c r="D27" t="str">
        <f>D26&amp;"C"</f>
        <v>RFR-WeatC</v>
      </c>
    </row>
    <row r="28" spans="1:5">
      <c r="B28" s="3">
        <v>27</v>
      </c>
      <c r="C28" s="3">
        <v>2536</v>
      </c>
      <c r="D28" t="s">
        <v>1147</v>
      </c>
      <c r="E28" t="s">
        <v>1169</v>
      </c>
    </row>
    <row r="29" spans="1:5">
      <c r="B29" s="3">
        <v>28</v>
      </c>
      <c r="C29" s="3">
        <v>2632</v>
      </c>
      <c r="D29" t="str">
        <f>D28&amp;"C"</f>
        <v>RFR-O1NC</v>
      </c>
    </row>
    <row r="30" spans="1:5">
      <c r="B30" s="3">
        <v>29</v>
      </c>
      <c r="C30" s="3">
        <v>2612</v>
      </c>
      <c r="D30" t="s">
        <v>1148</v>
      </c>
      <c r="E30" t="s">
        <v>1170</v>
      </c>
    </row>
    <row r="31" spans="1:5">
      <c r="B31" s="3">
        <v>30</v>
      </c>
      <c r="C31" s="3">
        <v>2633</v>
      </c>
      <c r="D31" t="str">
        <f>D30&amp;"C"</f>
        <v>RFR-O1-LC</v>
      </c>
    </row>
    <row r="32" spans="1:5">
      <c r="B32" s="3">
        <v>31</v>
      </c>
      <c r="C32" s="3">
        <v>2537</v>
      </c>
      <c r="D32" t="s">
        <v>1149</v>
      </c>
      <c r="E32" t="s">
        <v>1171</v>
      </c>
    </row>
    <row r="33" spans="2:5">
      <c r="B33" s="3">
        <v>32</v>
      </c>
      <c r="C33" s="3">
        <v>2635</v>
      </c>
      <c r="D33" t="str">
        <f>D32&amp;"C"</f>
        <v>RFR-O2NC</v>
      </c>
    </row>
    <row r="34" spans="2:5">
      <c r="B34" s="3">
        <v>33</v>
      </c>
      <c r="C34" s="3">
        <v>2613</v>
      </c>
      <c r="D34" t="s">
        <v>1150</v>
      </c>
      <c r="E34" t="s">
        <v>1170</v>
      </c>
    </row>
    <row r="35" spans="2:5">
      <c r="B35" s="3">
        <v>34</v>
      </c>
      <c r="C35" s="3">
        <v>2634</v>
      </c>
      <c r="D35" t="str">
        <f>D34&amp;"C"</f>
        <v>RFR-O2LC</v>
      </c>
    </row>
    <row r="36" spans="2:5">
      <c r="B36" s="3">
        <v>35</v>
      </c>
      <c r="C36" s="3">
        <v>2538</v>
      </c>
      <c r="D36" t="s">
        <v>1151</v>
      </c>
      <c r="E36" t="s">
        <v>1172</v>
      </c>
    </row>
    <row r="37" spans="2:5">
      <c r="B37" s="3">
        <v>36</v>
      </c>
      <c r="C37" s="3">
        <v>2636</v>
      </c>
      <c r="D37" t="str">
        <f>D36&amp;"C"</f>
        <v>RFR-O3-NC</v>
      </c>
    </row>
    <row r="38" spans="2:5">
      <c r="B38" s="3">
        <v>37</v>
      </c>
      <c r="C38" s="3">
        <v>2614</v>
      </c>
      <c r="D38" t="s">
        <v>1152</v>
      </c>
      <c r="E38" t="s">
        <v>1170</v>
      </c>
    </row>
    <row r="39" spans="2:5">
      <c r="B39" s="3">
        <v>38</v>
      </c>
      <c r="C39" s="3">
        <v>2637</v>
      </c>
      <c r="D39" t="str">
        <f>D38&amp;"C"</f>
        <v>RFR-O3LC</v>
      </c>
    </row>
    <row r="40" spans="2:5">
      <c r="B40" s="3">
        <v>39</v>
      </c>
      <c r="C40" s="3">
        <v>2539</v>
      </c>
      <c r="D40" t="s">
        <v>1153</v>
      </c>
      <c r="E40" t="s">
        <v>1173</v>
      </c>
    </row>
    <row r="41" spans="2:5">
      <c r="B41" s="3">
        <v>40</v>
      </c>
      <c r="C41" s="3">
        <v>2639</v>
      </c>
      <c r="D41" t="str">
        <f>D40&amp;"C"</f>
        <v>RFR-O4NC</v>
      </c>
    </row>
    <row r="42" spans="2:5">
      <c r="B42" s="3">
        <v>41</v>
      </c>
      <c r="C42" s="3">
        <v>2615</v>
      </c>
      <c r="D42" t="s">
        <v>1154</v>
      </c>
      <c r="E42" t="s">
        <v>1170</v>
      </c>
    </row>
    <row r="43" spans="2:5">
      <c r="B43" s="3">
        <v>42</v>
      </c>
      <c r="C43" s="3">
        <v>2638</v>
      </c>
      <c r="D43" t="str">
        <f>D42&amp;"C"</f>
        <v>RFR-O4LC</v>
      </c>
    </row>
    <row r="44" spans="2:5">
      <c r="B44" s="3">
        <v>43</v>
      </c>
      <c r="C44" s="3">
        <v>2540</v>
      </c>
      <c r="D44" t="s">
        <v>1155</v>
      </c>
      <c r="E44" t="s">
        <v>175</v>
      </c>
    </row>
    <row r="45" spans="2:5">
      <c r="B45" s="3">
        <v>44</v>
      </c>
      <c r="C45" s="3">
        <v>2640</v>
      </c>
      <c r="D45" t="str">
        <f>D44&amp;"C"</f>
        <v>RFR-WNC</v>
      </c>
    </row>
    <row r="46" spans="2:5">
      <c r="B46" s="3">
        <v>45</v>
      </c>
      <c r="C46" s="3">
        <v>2616</v>
      </c>
      <c r="D46" t="s">
        <v>1156</v>
      </c>
      <c r="E46" t="s">
        <v>1170</v>
      </c>
    </row>
    <row r="47" spans="2:5">
      <c r="B47" s="3">
        <v>46</v>
      </c>
      <c r="C47" s="3">
        <v>2641</v>
      </c>
      <c r="D47" t="str">
        <f>D46&amp;"C"</f>
        <v>RFR-WLC</v>
      </c>
    </row>
    <row r="48" spans="2:5">
      <c r="B48" s="3">
        <v>47</v>
      </c>
      <c r="C48" s="3">
        <v>2624</v>
      </c>
      <c r="D48" t="s">
        <v>1157</v>
      </c>
      <c r="E48" t="s">
        <v>1174</v>
      </c>
    </row>
    <row r="49" spans="1:5">
      <c r="B49" s="3">
        <v>48</v>
      </c>
      <c r="C49" s="3">
        <v>2646</v>
      </c>
      <c r="D49" t="str">
        <f>D48&amp;"C"</f>
        <v>RFR-WindC</v>
      </c>
    </row>
    <row r="50" spans="1:5">
      <c r="B50" s="3">
        <v>49</v>
      </c>
      <c r="C50" s="3">
        <v>2626</v>
      </c>
      <c r="D50" t="s">
        <v>1158</v>
      </c>
      <c r="E50" t="s">
        <v>1175</v>
      </c>
    </row>
    <row r="51" spans="1:5">
      <c r="B51" s="3">
        <v>50</v>
      </c>
      <c r="C51" s="3">
        <v>2647</v>
      </c>
      <c r="D51" t="str">
        <f>D50&amp;"C"</f>
        <v>RFR-DoorC</v>
      </c>
    </row>
    <row r="52" spans="1:5">
      <c r="B52" s="3">
        <v>51</v>
      </c>
      <c r="C52" s="3">
        <v>2556</v>
      </c>
      <c r="D52" t="s">
        <v>1159</v>
      </c>
      <c r="E52" t="s">
        <v>180</v>
      </c>
    </row>
    <row r="53" spans="1:5">
      <c r="B53" s="3">
        <v>52</v>
      </c>
      <c r="C53" s="3">
        <v>2648</v>
      </c>
      <c r="D53" t="str">
        <f>D52&amp;"C"</f>
        <v>RFR-Pic1NC</v>
      </c>
    </row>
    <row r="54" spans="1:5">
      <c r="B54" s="3">
        <v>53</v>
      </c>
      <c r="C54" s="3">
        <v>2620</v>
      </c>
      <c r="D54" t="s">
        <v>1160</v>
      </c>
      <c r="E54" t="s">
        <v>1176</v>
      </c>
    </row>
    <row r="55" spans="1:5">
      <c r="B55" s="3">
        <v>54</v>
      </c>
      <c r="C55" s="3">
        <v>2649</v>
      </c>
      <c r="D55" t="str">
        <f>D54&amp;"C"</f>
        <v>RFR-Pic1LC</v>
      </c>
    </row>
    <row r="56" spans="1:5">
      <c r="B56" s="3">
        <v>55</v>
      </c>
      <c r="C56" s="3">
        <v>2557</v>
      </c>
      <c r="D56" t="s">
        <v>1161</v>
      </c>
      <c r="E56" t="s">
        <v>182</v>
      </c>
    </row>
    <row r="57" spans="1:5">
      <c r="B57" s="3">
        <v>56</v>
      </c>
      <c r="C57" s="3">
        <v>2650</v>
      </c>
      <c r="D57" t="str">
        <f>D56&amp;"C"</f>
        <v>RFR-Pic2NC</v>
      </c>
    </row>
    <row r="58" spans="1:5">
      <c r="B58" s="3">
        <v>57</v>
      </c>
      <c r="C58" s="3">
        <v>2622</v>
      </c>
      <c r="D58" t="s">
        <v>1162</v>
      </c>
      <c r="E58" t="s">
        <v>1176</v>
      </c>
    </row>
    <row r="59" spans="1:5">
      <c r="B59" s="3">
        <v>58</v>
      </c>
      <c r="C59" s="3">
        <v>2651</v>
      </c>
      <c r="D59" t="str">
        <f>D58&amp;"C"</f>
        <v>RFR-Pic2LC</v>
      </c>
    </row>
    <row r="60" spans="1:5">
      <c r="A60" s="3">
        <v>3</v>
      </c>
      <c r="B60" s="3">
        <v>59</v>
      </c>
      <c r="C60" s="3">
        <v>2654</v>
      </c>
      <c r="D60" t="s">
        <v>1177</v>
      </c>
    </row>
    <row r="61" spans="1:5">
      <c r="B61" s="3">
        <v>60</v>
      </c>
      <c r="C61" s="3">
        <v>2655</v>
      </c>
      <c r="D61" t="s">
        <v>1178</v>
      </c>
    </row>
    <row r="62" spans="1:5">
      <c r="B62" s="3">
        <v>61</v>
      </c>
      <c r="C62" s="3">
        <v>2656</v>
      </c>
      <c r="D62" t="s">
        <v>1179</v>
      </c>
    </row>
    <row r="63" spans="1:5">
      <c r="B63" s="3">
        <v>62</v>
      </c>
      <c r="C63" s="3">
        <v>2657</v>
      </c>
      <c r="D63" t="s">
        <v>1180</v>
      </c>
    </row>
    <row r="64" spans="1:5">
      <c r="B64" s="3">
        <v>63</v>
      </c>
      <c r="C64" s="3">
        <v>2658</v>
      </c>
      <c r="D64" t="s">
        <v>1181</v>
      </c>
    </row>
    <row r="65" spans="2:5">
      <c r="B65" s="3">
        <v>64</v>
      </c>
      <c r="C65" s="3">
        <v>2699</v>
      </c>
      <c r="D65" t="s">
        <v>1182</v>
      </c>
      <c r="E65" t="s">
        <v>986</v>
      </c>
    </row>
    <row r="66" spans="2:5">
      <c r="B66" s="3">
        <v>65</v>
      </c>
      <c r="C66" s="3">
        <v>2707</v>
      </c>
      <c r="D66" t="s">
        <v>1183</v>
      </c>
    </row>
    <row r="67" spans="2:5">
      <c r="B67" s="3">
        <v>66</v>
      </c>
      <c r="C67" s="3">
        <v>2713</v>
      </c>
      <c r="D67" t="s">
        <v>1184</v>
      </c>
      <c r="E67" t="s">
        <v>1230</v>
      </c>
    </row>
    <row r="68" spans="2:5">
      <c r="B68" s="3">
        <v>67</v>
      </c>
      <c r="C68" s="3">
        <v>2708</v>
      </c>
      <c r="D68" t="s">
        <v>1185</v>
      </c>
    </row>
    <row r="69" spans="2:5">
      <c r="B69" s="3">
        <v>68</v>
      </c>
      <c r="C69" s="3">
        <v>2706</v>
      </c>
      <c r="D69" t="s">
        <v>1186</v>
      </c>
      <c r="E69" t="s">
        <v>975</v>
      </c>
    </row>
    <row r="70" spans="2:5">
      <c r="B70" s="3">
        <v>69</v>
      </c>
      <c r="C70" s="3">
        <v>2709</v>
      </c>
      <c r="D70" t="s">
        <v>1187</v>
      </c>
    </row>
    <row r="71" spans="2:5">
      <c r="B71" s="3">
        <v>70</v>
      </c>
      <c r="C71" s="3">
        <v>2858</v>
      </c>
      <c r="D71" t="s">
        <v>1188</v>
      </c>
      <c r="E71" t="s">
        <v>190</v>
      </c>
    </row>
    <row r="72" spans="2:5">
      <c r="B72" s="3">
        <v>71</v>
      </c>
      <c r="C72" s="3">
        <v>2735</v>
      </c>
      <c r="D72" t="s">
        <v>1189</v>
      </c>
    </row>
    <row r="73" spans="2:5">
      <c r="B73" s="3">
        <v>72</v>
      </c>
      <c r="C73" s="3">
        <v>2700</v>
      </c>
      <c r="D73" t="s">
        <v>1190</v>
      </c>
      <c r="E73" t="s">
        <v>986</v>
      </c>
    </row>
    <row r="74" spans="2:5">
      <c r="B74" s="3">
        <v>73</v>
      </c>
      <c r="C74" s="3">
        <v>2710</v>
      </c>
      <c r="D74" t="s">
        <v>1191</v>
      </c>
    </row>
    <row r="75" spans="2:5">
      <c r="B75" s="3">
        <v>74</v>
      </c>
      <c r="C75" s="3">
        <v>2717</v>
      </c>
      <c r="D75" t="s">
        <v>1192</v>
      </c>
      <c r="E75" t="s">
        <v>1230</v>
      </c>
    </row>
    <row r="76" spans="2:5">
      <c r="B76" s="3">
        <v>75</v>
      </c>
      <c r="C76" s="3">
        <v>2712</v>
      </c>
      <c r="D76" t="s">
        <v>1193</v>
      </c>
    </row>
    <row r="77" spans="2:5">
      <c r="B77" s="3">
        <v>76</v>
      </c>
      <c r="C77" s="3">
        <v>2718</v>
      </c>
      <c r="D77" t="s">
        <v>1194</v>
      </c>
      <c r="E77" t="s">
        <v>975</v>
      </c>
    </row>
    <row r="78" spans="2:5">
      <c r="B78" s="3">
        <v>77</v>
      </c>
      <c r="C78" s="3">
        <v>2714</v>
      </c>
      <c r="D78" t="s">
        <v>1195</v>
      </c>
    </row>
    <row r="79" spans="2:5">
      <c r="B79" s="3">
        <v>78</v>
      </c>
      <c r="C79" s="3">
        <v>2861</v>
      </c>
      <c r="D79" t="s">
        <v>1196</v>
      </c>
      <c r="E79" t="s">
        <v>190</v>
      </c>
    </row>
    <row r="80" spans="2:5">
      <c r="B80" s="3">
        <v>79</v>
      </c>
      <c r="C80" s="3">
        <v>2736</v>
      </c>
      <c r="D80" t="s">
        <v>1197</v>
      </c>
    </row>
    <row r="81" spans="2:5">
      <c r="B81" s="3">
        <v>80</v>
      </c>
      <c r="C81" s="3">
        <v>2701</v>
      </c>
      <c r="D81" t="s">
        <v>1198</v>
      </c>
      <c r="E81" t="s">
        <v>986</v>
      </c>
    </row>
    <row r="82" spans="2:5">
      <c r="B82" s="3">
        <v>81</v>
      </c>
      <c r="C82" s="3">
        <v>2715</v>
      </c>
      <c r="D82" t="s">
        <v>1199</v>
      </c>
    </row>
    <row r="83" spans="2:5">
      <c r="B83" s="3">
        <v>82</v>
      </c>
      <c r="C83" s="3">
        <v>2722</v>
      </c>
      <c r="D83" t="s">
        <v>1200</v>
      </c>
      <c r="E83" t="s">
        <v>1230</v>
      </c>
    </row>
    <row r="84" spans="2:5">
      <c r="B84" s="3">
        <v>83</v>
      </c>
      <c r="C84" s="3">
        <v>2719</v>
      </c>
      <c r="D84" t="s">
        <v>1201</v>
      </c>
    </row>
    <row r="85" spans="2:5">
      <c r="B85" s="3">
        <v>84</v>
      </c>
      <c r="C85" s="3">
        <v>2724</v>
      </c>
      <c r="D85" t="s">
        <v>1202</v>
      </c>
      <c r="E85" t="s">
        <v>975</v>
      </c>
    </row>
    <row r="86" spans="2:5">
      <c r="B86" s="3">
        <v>85</v>
      </c>
      <c r="C86" s="3">
        <v>2716</v>
      </c>
      <c r="D86" t="s">
        <v>1203</v>
      </c>
    </row>
    <row r="87" spans="2:5">
      <c r="B87" s="3">
        <v>86</v>
      </c>
      <c r="C87" s="3">
        <v>2862</v>
      </c>
      <c r="D87" t="s">
        <v>1204</v>
      </c>
      <c r="E87" t="s">
        <v>190</v>
      </c>
    </row>
    <row r="88" spans="2:5">
      <c r="B88" s="3">
        <v>87</v>
      </c>
      <c r="C88" s="3">
        <v>2737</v>
      </c>
      <c r="D88" t="s">
        <v>1205</v>
      </c>
    </row>
    <row r="89" spans="2:5">
      <c r="B89" s="3">
        <v>88</v>
      </c>
      <c r="C89" s="3">
        <v>2702</v>
      </c>
      <c r="D89" t="s">
        <v>1206</v>
      </c>
      <c r="E89" t="s">
        <v>986</v>
      </c>
    </row>
    <row r="90" spans="2:5">
      <c r="B90" s="3">
        <v>89</v>
      </c>
      <c r="C90" s="3">
        <v>2720</v>
      </c>
      <c r="D90" t="s">
        <v>1207</v>
      </c>
    </row>
    <row r="91" spans="2:5">
      <c r="B91" s="3">
        <v>90</v>
      </c>
      <c r="C91" s="3">
        <v>2727</v>
      </c>
      <c r="D91" t="s">
        <v>1208</v>
      </c>
      <c r="E91" t="s">
        <v>1230</v>
      </c>
    </row>
    <row r="92" spans="2:5">
      <c r="B92" s="3">
        <v>91</v>
      </c>
      <c r="C92" s="3">
        <v>2721</v>
      </c>
      <c r="D92" t="s">
        <v>1209</v>
      </c>
    </row>
    <row r="93" spans="2:5">
      <c r="B93" s="3">
        <v>92</v>
      </c>
      <c r="C93" s="3">
        <v>2728</v>
      </c>
      <c r="D93" t="s">
        <v>1210</v>
      </c>
      <c r="E93" t="s">
        <v>975</v>
      </c>
    </row>
    <row r="94" spans="2:5">
      <c r="B94" s="3">
        <v>93</v>
      </c>
      <c r="C94" s="3">
        <v>2723</v>
      </c>
      <c r="D94" t="s">
        <v>1211</v>
      </c>
    </row>
    <row r="95" spans="2:5">
      <c r="B95" s="3">
        <v>94</v>
      </c>
      <c r="C95" s="3">
        <v>2863</v>
      </c>
      <c r="D95" t="s">
        <v>1212</v>
      </c>
      <c r="E95" t="s">
        <v>190</v>
      </c>
    </row>
    <row r="96" spans="2:5">
      <c r="B96" s="3">
        <v>95</v>
      </c>
      <c r="C96" s="3">
        <v>2738</v>
      </c>
      <c r="D96" t="s">
        <v>1213</v>
      </c>
    </row>
    <row r="97" spans="2:5">
      <c r="B97" s="3">
        <v>96</v>
      </c>
      <c r="C97" s="3">
        <v>2703</v>
      </c>
      <c r="D97" t="s">
        <v>1214</v>
      </c>
      <c r="E97" t="s">
        <v>986</v>
      </c>
    </row>
    <row r="98" spans="2:5">
      <c r="B98" s="3">
        <v>97</v>
      </c>
      <c r="C98" s="3">
        <v>2725</v>
      </c>
      <c r="D98" t="s">
        <v>1215</v>
      </c>
    </row>
    <row r="99" spans="2:5">
      <c r="B99" s="3">
        <v>98</v>
      </c>
      <c r="C99" s="3">
        <v>2734</v>
      </c>
      <c r="D99" t="s">
        <v>1216</v>
      </c>
      <c r="E99" t="s">
        <v>1230</v>
      </c>
    </row>
    <row r="100" spans="2:5">
      <c r="B100" s="3">
        <v>99</v>
      </c>
      <c r="C100" s="3">
        <v>2726</v>
      </c>
      <c r="D100" t="s">
        <v>1217</v>
      </c>
    </row>
    <row r="101" spans="2:5">
      <c r="B101" s="3">
        <v>100</v>
      </c>
      <c r="C101" s="3">
        <v>2731</v>
      </c>
      <c r="D101" t="s">
        <v>1218</v>
      </c>
      <c r="E101" t="s">
        <v>975</v>
      </c>
    </row>
    <row r="102" spans="2:5">
      <c r="B102" s="3">
        <v>101</v>
      </c>
      <c r="C102" s="3">
        <v>2729</v>
      </c>
      <c r="D102" t="s">
        <v>1219</v>
      </c>
    </row>
    <row r="103" spans="2:5">
      <c r="B103" s="3">
        <v>102</v>
      </c>
      <c r="C103" s="3">
        <v>2860</v>
      </c>
      <c r="D103" t="s">
        <v>1220</v>
      </c>
      <c r="E103" t="s">
        <v>190</v>
      </c>
    </row>
    <row r="104" spans="2:5">
      <c r="B104" s="3">
        <v>103</v>
      </c>
      <c r="C104" s="3">
        <v>2739</v>
      </c>
      <c r="D104" t="s">
        <v>1221</v>
      </c>
    </row>
    <row r="105" spans="2:5">
      <c r="B105" s="3">
        <v>104</v>
      </c>
      <c r="C105" s="3">
        <v>2698</v>
      </c>
      <c r="D105" t="s">
        <v>1222</v>
      </c>
      <c r="E105" t="s">
        <v>986</v>
      </c>
    </row>
    <row r="106" spans="2:5">
      <c r="B106" s="3">
        <v>105</v>
      </c>
      <c r="C106" s="3">
        <v>2730</v>
      </c>
      <c r="D106" t="s">
        <v>1223</v>
      </c>
    </row>
    <row r="107" spans="2:5">
      <c r="B107" s="3">
        <v>106</v>
      </c>
      <c r="C107" s="3">
        <v>2705</v>
      </c>
      <c r="D107" t="s">
        <v>1224</v>
      </c>
      <c r="E107" t="s">
        <v>1230</v>
      </c>
    </row>
    <row r="108" spans="2:5">
      <c r="B108" s="3">
        <v>107</v>
      </c>
      <c r="C108" s="3">
        <v>2733</v>
      </c>
      <c r="D108" t="s">
        <v>1225</v>
      </c>
    </row>
    <row r="109" spans="2:5">
      <c r="B109" s="3">
        <v>108</v>
      </c>
      <c r="C109" s="3">
        <v>2711</v>
      </c>
      <c r="D109" t="s">
        <v>1226</v>
      </c>
      <c r="E109" t="s">
        <v>975</v>
      </c>
    </row>
    <row r="110" spans="2:5">
      <c r="B110" s="3">
        <v>109</v>
      </c>
      <c r="C110" s="3">
        <v>2732</v>
      </c>
      <c r="D110" t="s">
        <v>1227</v>
      </c>
    </row>
    <row r="111" spans="2:5">
      <c r="B111" s="3">
        <v>110</v>
      </c>
      <c r="C111" s="3">
        <v>2859</v>
      </c>
      <c r="D111" t="s">
        <v>1228</v>
      </c>
      <c r="E111" t="s">
        <v>190</v>
      </c>
    </row>
    <row r="112" spans="2:5">
      <c r="B112" s="3">
        <v>111</v>
      </c>
      <c r="C112" s="3">
        <v>2740</v>
      </c>
      <c r="D112" t="s">
        <v>1229</v>
      </c>
    </row>
    <row r="113" spans="1:5">
      <c r="A113" s="3">
        <v>4</v>
      </c>
      <c r="B113" s="3">
        <v>112</v>
      </c>
      <c r="C113" s="3">
        <v>3435</v>
      </c>
      <c r="D113" t="s">
        <v>1232</v>
      </c>
    </row>
    <row r="114" spans="1:5">
      <c r="B114" s="3">
        <v>113</v>
      </c>
      <c r="C114" s="3">
        <v>3436</v>
      </c>
      <c r="D114" t="s">
        <v>1233</v>
      </c>
    </row>
    <row r="115" spans="1:5">
      <c r="B115" s="3">
        <v>114</v>
      </c>
      <c r="C115" s="3">
        <v>3437</v>
      </c>
      <c r="D115" t="s">
        <v>1234</v>
      </c>
    </row>
    <row r="116" spans="1:5">
      <c r="B116" s="3">
        <v>115</v>
      </c>
      <c r="C116" s="3">
        <v>3438</v>
      </c>
      <c r="D116" t="s">
        <v>1235</v>
      </c>
    </row>
    <row r="117" spans="1:5">
      <c r="B117" s="3">
        <v>116</v>
      </c>
      <c r="C117" s="3">
        <v>3439</v>
      </c>
      <c r="D117" t="s">
        <v>1236</v>
      </c>
    </row>
    <row r="118" spans="1:5">
      <c r="B118" s="3">
        <v>117</v>
      </c>
      <c r="C118" s="3">
        <v>4370</v>
      </c>
      <c r="D118" t="s">
        <v>1237</v>
      </c>
      <c r="E118" t="s">
        <v>1249</v>
      </c>
    </row>
    <row r="119" spans="1:5">
      <c r="B119" s="3">
        <v>118</v>
      </c>
      <c r="C119" s="3">
        <v>4003</v>
      </c>
      <c r="D119" t="s">
        <v>1238</v>
      </c>
    </row>
    <row r="120" spans="1:5">
      <c r="B120" s="3">
        <v>119</v>
      </c>
      <c r="C120" s="3">
        <v>4372</v>
      </c>
      <c r="D120" t="s">
        <v>1239</v>
      </c>
      <c r="E120" t="s">
        <v>1250</v>
      </c>
    </row>
    <row r="121" spans="1:5">
      <c r="B121" s="3">
        <v>120</v>
      </c>
      <c r="C121" s="3">
        <v>4371</v>
      </c>
      <c r="D121" t="s">
        <v>1240</v>
      </c>
    </row>
    <row r="122" spans="1:5">
      <c r="B122" s="3">
        <v>121</v>
      </c>
      <c r="C122" s="3">
        <v>4373</v>
      </c>
      <c r="D122" t="s">
        <v>1241</v>
      </c>
      <c r="E122" t="s">
        <v>1251</v>
      </c>
    </row>
    <row r="123" spans="1:5">
      <c r="B123" s="3">
        <v>122</v>
      </c>
      <c r="C123" s="3">
        <v>4374</v>
      </c>
      <c r="D123" t="s">
        <v>1242</v>
      </c>
    </row>
    <row r="124" spans="1:5">
      <c r="B124" s="3">
        <v>123</v>
      </c>
      <c r="C124" s="3">
        <v>4376</v>
      </c>
      <c r="D124" t="s">
        <v>1243</v>
      </c>
      <c r="E124" t="s">
        <v>1252</v>
      </c>
    </row>
    <row r="125" spans="1:5">
      <c r="B125" s="3">
        <v>124</v>
      </c>
      <c r="C125" s="3">
        <v>4375</v>
      </c>
      <c r="D125" t="s">
        <v>1244</v>
      </c>
    </row>
    <row r="126" spans="1:5">
      <c r="B126" s="3">
        <v>125</v>
      </c>
      <c r="C126" s="3">
        <v>4378</v>
      </c>
      <c r="D126" t="s">
        <v>1245</v>
      </c>
      <c r="E126" t="s">
        <v>1253</v>
      </c>
    </row>
    <row r="127" spans="1:5">
      <c r="B127" s="3">
        <v>126</v>
      </c>
      <c r="C127" s="3">
        <v>4377</v>
      </c>
      <c r="D127" t="s">
        <v>1246</v>
      </c>
    </row>
    <row r="128" spans="1:5">
      <c r="B128" s="3">
        <v>127</v>
      </c>
      <c r="C128" s="3">
        <v>4379</v>
      </c>
      <c r="D128" t="s">
        <v>1247</v>
      </c>
      <c r="E128" t="s">
        <v>1254</v>
      </c>
    </row>
    <row r="129" spans="1:5">
      <c r="B129" s="3">
        <v>128</v>
      </c>
      <c r="C129" s="3">
        <v>4380</v>
      </c>
      <c r="D129" t="s">
        <v>1248</v>
      </c>
    </row>
    <row r="130" spans="1:5">
      <c r="A130" s="3">
        <v>5</v>
      </c>
      <c r="B130" s="3">
        <v>129</v>
      </c>
      <c r="C130" s="3" t="s">
        <v>1326</v>
      </c>
      <c r="D130" t="s">
        <v>1255</v>
      </c>
    </row>
    <row r="131" spans="1:5">
      <c r="B131" s="3">
        <v>130</v>
      </c>
      <c r="C131" s="3" t="s">
        <v>1327</v>
      </c>
      <c r="D131" t="s">
        <v>1256</v>
      </c>
    </row>
    <row r="132" spans="1:5">
      <c r="B132" s="3">
        <v>131</v>
      </c>
      <c r="C132" s="3" t="s">
        <v>1328</v>
      </c>
      <c r="D132" t="s">
        <v>1257</v>
      </c>
    </row>
    <row r="133" spans="1:5">
      <c r="B133" s="3">
        <v>132</v>
      </c>
      <c r="C133" s="3" t="s">
        <v>1329</v>
      </c>
      <c r="D133" t="s">
        <v>1258</v>
      </c>
    </row>
    <row r="134" spans="1:5">
      <c r="B134" s="3">
        <v>133</v>
      </c>
      <c r="C134" s="3" t="s">
        <v>1330</v>
      </c>
      <c r="D134" t="s">
        <v>1259</v>
      </c>
    </row>
    <row r="135" spans="1:5">
      <c r="B135" s="3">
        <v>134</v>
      </c>
      <c r="C135" s="3" t="s">
        <v>1331</v>
      </c>
      <c r="D135" t="s">
        <v>1260</v>
      </c>
      <c r="E135" t="s">
        <v>1457</v>
      </c>
    </row>
    <row r="136" spans="1:5">
      <c r="B136" s="3">
        <v>135</v>
      </c>
      <c r="C136" s="3" t="s">
        <v>1332</v>
      </c>
      <c r="D136" t="s">
        <v>1261</v>
      </c>
      <c r="E136" t="s">
        <v>1458</v>
      </c>
    </row>
    <row r="137" spans="1:5">
      <c r="B137" s="3">
        <v>136</v>
      </c>
      <c r="C137" s="3" t="s">
        <v>1333</v>
      </c>
      <c r="D137" t="s">
        <v>1262</v>
      </c>
      <c r="E137" t="s">
        <v>1459</v>
      </c>
    </row>
    <row r="138" spans="1:5">
      <c r="B138" s="3">
        <v>137</v>
      </c>
      <c r="C138" s="3" t="s">
        <v>1334</v>
      </c>
      <c r="D138" t="s">
        <v>1263</v>
      </c>
      <c r="E138" t="s">
        <v>1460</v>
      </c>
    </row>
    <row r="139" spans="1:5">
      <c r="B139" s="3">
        <v>138</v>
      </c>
      <c r="C139" s="3" t="s">
        <v>1335</v>
      </c>
      <c r="D139" t="s">
        <v>1264</v>
      </c>
    </row>
    <row r="140" spans="1:5">
      <c r="B140" s="3">
        <v>139</v>
      </c>
      <c r="C140" s="3" t="s">
        <v>1336</v>
      </c>
      <c r="D140" t="s">
        <v>1265</v>
      </c>
      <c r="E140" t="s">
        <v>1461</v>
      </c>
    </row>
    <row r="141" spans="1:5">
      <c r="B141" s="3">
        <v>140</v>
      </c>
      <c r="C141" s="3" t="s">
        <v>1337</v>
      </c>
      <c r="D141" t="s">
        <v>1266</v>
      </c>
    </row>
    <row r="142" spans="1:5">
      <c r="B142" s="3">
        <v>141</v>
      </c>
      <c r="C142" s="3" t="s">
        <v>1338</v>
      </c>
      <c r="D142" t="s">
        <v>1267</v>
      </c>
      <c r="E142" t="s">
        <v>1462</v>
      </c>
    </row>
    <row r="143" spans="1:5">
      <c r="B143" s="3">
        <v>142</v>
      </c>
      <c r="C143" s="3" t="s">
        <v>1339</v>
      </c>
      <c r="D143" t="s">
        <v>1268</v>
      </c>
    </row>
    <row r="144" spans="1:5">
      <c r="B144" s="3">
        <v>143</v>
      </c>
      <c r="C144" s="3" t="s">
        <v>1340</v>
      </c>
      <c r="D144" t="s">
        <v>1269</v>
      </c>
      <c r="E144" t="s">
        <v>190</v>
      </c>
    </row>
    <row r="145" spans="2:5">
      <c r="B145" s="3">
        <v>144</v>
      </c>
      <c r="C145" s="3" t="s">
        <v>1341</v>
      </c>
      <c r="D145" t="s">
        <v>1270</v>
      </c>
    </row>
    <row r="146" spans="2:5">
      <c r="B146" s="3">
        <v>145</v>
      </c>
      <c r="C146" s="3" t="s">
        <v>1342</v>
      </c>
      <c r="D146" t="s">
        <v>1271</v>
      </c>
      <c r="E146" t="s">
        <v>1457</v>
      </c>
    </row>
    <row r="147" spans="2:5">
      <c r="B147" s="3">
        <v>146</v>
      </c>
      <c r="C147" s="3" t="s">
        <v>1343</v>
      </c>
      <c r="D147" t="s">
        <v>1272</v>
      </c>
      <c r="E147" t="s">
        <v>1458</v>
      </c>
    </row>
    <row r="148" spans="2:5">
      <c r="B148" s="3">
        <v>147</v>
      </c>
      <c r="C148" s="3" t="s">
        <v>1344</v>
      </c>
      <c r="D148" t="s">
        <v>1273</v>
      </c>
      <c r="E148" t="s">
        <v>1459</v>
      </c>
    </row>
    <row r="149" spans="2:5">
      <c r="B149" s="3">
        <v>148</v>
      </c>
      <c r="C149" s="3" t="s">
        <v>1345</v>
      </c>
      <c r="D149" t="s">
        <v>1274</v>
      </c>
      <c r="E149" t="s">
        <v>1460</v>
      </c>
    </row>
    <row r="150" spans="2:5">
      <c r="B150" s="3">
        <v>149</v>
      </c>
      <c r="C150" s="3" t="s">
        <v>1346</v>
      </c>
      <c r="D150" t="s">
        <v>1275</v>
      </c>
    </row>
    <row r="151" spans="2:5">
      <c r="B151" s="3">
        <v>150</v>
      </c>
      <c r="C151" s="3" t="s">
        <v>1347</v>
      </c>
      <c r="D151" t="s">
        <v>1276</v>
      </c>
      <c r="E151" t="s">
        <v>1461</v>
      </c>
    </row>
    <row r="152" spans="2:5">
      <c r="B152" s="3">
        <v>151</v>
      </c>
      <c r="C152" s="3" t="s">
        <v>1348</v>
      </c>
      <c r="D152" t="s">
        <v>1277</v>
      </c>
    </row>
    <row r="153" spans="2:5">
      <c r="B153" s="3">
        <v>152</v>
      </c>
      <c r="C153" s="3" t="s">
        <v>1349</v>
      </c>
      <c r="D153" t="s">
        <v>1278</v>
      </c>
      <c r="E153" t="s">
        <v>1462</v>
      </c>
    </row>
    <row r="154" spans="2:5">
      <c r="B154" s="3">
        <v>153</v>
      </c>
      <c r="C154" s="3" t="s">
        <v>1350</v>
      </c>
      <c r="D154" t="s">
        <v>1279</v>
      </c>
    </row>
    <row r="155" spans="2:5">
      <c r="B155" s="3">
        <v>154</v>
      </c>
      <c r="C155" s="3" t="s">
        <v>1351</v>
      </c>
      <c r="D155" t="s">
        <v>1280</v>
      </c>
      <c r="E155" t="s">
        <v>190</v>
      </c>
    </row>
    <row r="156" spans="2:5">
      <c r="B156" s="3">
        <v>155</v>
      </c>
      <c r="C156" s="3" t="s">
        <v>1352</v>
      </c>
      <c r="D156" t="s">
        <v>1281</v>
      </c>
    </row>
    <row r="157" spans="2:5">
      <c r="B157" s="3">
        <v>156</v>
      </c>
      <c r="C157" s="3" t="s">
        <v>1353</v>
      </c>
      <c r="D157" t="s">
        <v>1282</v>
      </c>
      <c r="E157" t="s">
        <v>1457</v>
      </c>
    </row>
    <row r="158" spans="2:5">
      <c r="B158" s="3">
        <v>157</v>
      </c>
      <c r="C158" s="3" t="s">
        <v>1354</v>
      </c>
      <c r="D158" t="s">
        <v>1283</v>
      </c>
      <c r="E158" t="s">
        <v>1458</v>
      </c>
    </row>
    <row r="159" spans="2:5">
      <c r="B159" s="3">
        <v>158</v>
      </c>
      <c r="C159" s="3" t="s">
        <v>1355</v>
      </c>
      <c r="D159" t="s">
        <v>1284</v>
      </c>
      <c r="E159" t="s">
        <v>1459</v>
      </c>
    </row>
    <row r="160" spans="2:5">
      <c r="B160" s="3">
        <v>159</v>
      </c>
      <c r="C160" s="3" t="s">
        <v>1356</v>
      </c>
      <c r="D160" t="s">
        <v>1285</v>
      </c>
      <c r="E160" t="s">
        <v>1460</v>
      </c>
    </row>
    <row r="161" spans="2:5">
      <c r="B161" s="3">
        <v>160</v>
      </c>
      <c r="C161" s="3" t="s">
        <v>1357</v>
      </c>
      <c r="D161" t="s">
        <v>1286</v>
      </c>
    </row>
    <row r="162" spans="2:5">
      <c r="B162" s="3">
        <v>161</v>
      </c>
      <c r="C162" s="3" t="s">
        <v>1358</v>
      </c>
      <c r="D162" t="s">
        <v>1287</v>
      </c>
      <c r="E162" t="s">
        <v>1461</v>
      </c>
    </row>
    <row r="163" spans="2:5">
      <c r="B163" s="3">
        <v>162</v>
      </c>
      <c r="C163" s="3" t="s">
        <v>1359</v>
      </c>
      <c r="D163" t="s">
        <v>1288</v>
      </c>
    </row>
    <row r="164" spans="2:5">
      <c r="B164" s="3">
        <v>163</v>
      </c>
      <c r="C164" s="3" t="s">
        <v>1360</v>
      </c>
      <c r="D164" t="s">
        <v>1289</v>
      </c>
      <c r="E164" t="s">
        <v>1462</v>
      </c>
    </row>
    <row r="165" spans="2:5">
      <c r="B165" s="3">
        <v>164</v>
      </c>
      <c r="C165" s="3" t="s">
        <v>1361</v>
      </c>
      <c r="D165" t="s">
        <v>1290</v>
      </c>
    </row>
    <row r="166" spans="2:5">
      <c r="B166" s="3">
        <v>165</v>
      </c>
      <c r="C166" s="3" t="s">
        <v>1362</v>
      </c>
      <c r="D166" t="s">
        <v>1291</v>
      </c>
      <c r="E166" t="s">
        <v>190</v>
      </c>
    </row>
    <row r="167" spans="2:5">
      <c r="B167" s="3">
        <v>166</v>
      </c>
      <c r="C167" s="3" t="s">
        <v>1363</v>
      </c>
      <c r="D167" t="s">
        <v>1292</v>
      </c>
    </row>
    <row r="168" spans="2:5">
      <c r="B168" s="3">
        <v>167</v>
      </c>
      <c r="C168" s="3" t="s">
        <v>1364</v>
      </c>
      <c r="D168" t="s">
        <v>1293</v>
      </c>
      <c r="E168" t="s">
        <v>1457</v>
      </c>
    </row>
    <row r="169" spans="2:5">
      <c r="B169" s="3">
        <v>168</v>
      </c>
      <c r="C169" s="3" t="s">
        <v>1365</v>
      </c>
      <c r="D169" t="s">
        <v>1294</v>
      </c>
      <c r="E169" t="s">
        <v>1458</v>
      </c>
    </row>
    <row r="170" spans="2:5">
      <c r="B170" s="3">
        <v>169</v>
      </c>
      <c r="C170" s="3" t="s">
        <v>1366</v>
      </c>
      <c r="D170" t="s">
        <v>1295</v>
      </c>
      <c r="E170" t="s">
        <v>1459</v>
      </c>
    </row>
    <row r="171" spans="2:5">
      <c r="B171" s="3">
        <v>170</v>
      </c>
      <c r="C171" s="3" t="s">
        <v>1367</v>
      </c>
      <c r="D171" t="s">
        <v>1296</v>
      </c>
      <c r="E171" t="s">
        <v>1460</v>
      </c>
    </row>
    <row r="172" spans="2:5">
      <c r="B172" s="3">
        <v>171</v>
      </c>
      <c r="C172" s="3" t="s">
        <v>1368</v>
      </c>
      <c r="D172" t="s">
        <v>1297</v>
      </c>
    </row>
    <row r="173" spans="2:5">
      <c r="B173" s="3">
        <v>172</v>
      </c>
      <c r="C173" s="3" t="s">
        <v>1369</v>
      </c>
      <c r="D173" t="s">
        <v>1298</v>
      </c>
      <c r="E173" t="s">
        <v>1461</v>
      </c>
    </row>
    <row r="174" spans="2:5">
      <c r="B174" s="3">
        <v>173</v>
      </c>
      <c r="C174" s="3" t="s">
        <v>1370</v>
      </c>
      <c r="D174" t="s">
        <v>1299</v>
      </c>
    </row>
    <row r="175" spans="2:5">
      <c r="B175" s="3">
        <v>174</v>
      </c>
      <c r="C175" s="3" t="s">
        <v>1371</v>
      </c>
      <c r="D175" t="s">
        <v>1300</v>
      </c>
      <c r="E175" t="s">
        <v>1462</v>
      </c>
    </row>
    <row r="176" spans="2:5">
      <c r="B176" s="3">
        <v>175</v>
      </c>
      <c r="C176" s="3" t="s">
        <v>1372</v>
      </c>
      <c r="D176" t="s">
        <v>1301</v>
      </c>
    </row>
    <row r="177" spans="2:5">
      <c r="B177" s="3">
        <v>176</v>
      </c>
      <c r="C177" s="3" t="s">
        <v>1373</v>
      </c>
      <c r="D177" t="s">
        <v>1302</v>
      </c>
      <c r="E177" t="s">
        <v>190</v>
      </c>
    </row>
    <row r="178" spans="2:5">
      <c r="B178" s="3">
        <v>177</v>
      </c>
      <c r="C178" s="3" t="s">
        <v>1374</v>
      </c>
      <c r="D178" t="s">
        <v>1303</v>
      </c>
    </row>
    <row r="179" spans="2:5">
      <c r="B179" s="3">
        <v>178</v>
      </c>
      <c r="C179" s="3" t="s">
        <v>1375</v>
      </c>
      <c r="D179" t="s">
        <v>1304</v>
      </c>
      <c r="E179" t="s">
        <v>1457</v>
      </c>
    </row>
    <row r="180" spans="2:5">
      <c r="B180" s="3">
        <v>179</v>
      </c>
      <c r="C180" s="3" t="s">
        <v>1376</v>
      </c>
      <c r="D180" t="s">
        <v>1305</v>
      </c>
      <c r="E180" t="s">
        <v>1458</v>
      </c>
    </row>
    <row r="181" spans="2:5">
      <c r="B181" s="3">
        <v>180</v>
      </c>
      <c r="C181" s="3" t="s">
        <v>1377</v>
      </c>
      <c r="D181" t="s">
        <v>1306</v>
      </c>
      <c r="E181" t="s">
        <v>1459</v>
      </c>
    </row>
    <row r="182" spans="2:5">
      <c r="B182" s="3">
        <v>181</v>
      </c>
      <c r="C182" s="3" t="s">
        <v>1378</v>
      </c>
      <c r="D182" t="s">
        <v>1307</v>
      </c>
      <c r="E182" t="s">
        <v>1460</v>
      </c>
    </row>
    <row r="183" spans="2:5">
      <c r="B183" s="3">
        <v>182</v>
      </c>
      <c r="C183" s="3" t="s">
        <v>1379</v>
      </c>
      <c r="D183" t="s">
        <v>1308</v>
      </c>
    </row>
    <row r="184" spans="2:5">
      <c r="B184" s="3">
        <v>183</v>
      </c>
      <c r="C184" s="3" t="s">
        <v>1380</v>
      </c>
      <c r="D184" t="s">
        <v>1309</v>
      </c>
      <c r="E184" t="s">
        <v>1461</v>
      </c>
    </row>
    <row r="185" spans="2:5">
      <c r="B185" s="3">
        <v>184</v>
      </c>
      <c r="C185" s="3" t="s">
        <v>1381</v>
      </c>
      <c r="D185" t="s">
        <v>1310</v>
      </c>
    </row>
    <row r="186" spans="2:5">
      <c r="B186" s="3">
        <v>185</v>
      </c>
      <c r="C186" s="3" t="s">
        <v>1382</v>
      </c>
      <c r="D186" t="s">
        <v>1311</v>
      </c>
      <c r="E186" t="s">
        <v>1462</v>
      </c>
    </row>
    <row r="187" spans="2:5">
      <c r="B187" s="3">
        <v>186</v>
      </c>
      <c r="C187" s="3" t="s">
        <v>1383</v>
      </c>
      <c r="D187" t="s">
        <v>1312</v>
      </c>
    </row>
    <row r="188" spans="2:5">
      <c r="B188" s="3">
        <v>187</v>
      </c>
      <c r="C188" s="3" t="s">
        <v>1384</v>
      </c>
      <c r="D188" t="s">
        <v>1313</v>
      </c>
      <c r="E188" t="s">
        <v>190</v>
      </c>
    </row>
    <row r="189" spans="2:5">
      <c r="B189" s="3">
        <v>188</v>
      </c>
      <c r="C189" s="3" t="s">
        <v>1385</v>
      </c>
      <c r="D189" t="s">
        <v>1314</v>
      </c>
    </row>
    <row r="190" spans="2:5">
      <c r="B190" s="3">
        <v>189</v>
      </c>
      <c r="C190" s="3" t="s">
        <v>1386</v>
      </c>
      <c r="D190" t="s">
        <v>1315</v>
      </c>
      <c r="E190" t="s">
        <v>1457</v>
      </c>
    </row>
    <row r="191" spans="2:5">
      <c r="B191" s="3">
        <v>190</v>
      </c>
      <c r="C191" s="3" t="s">
        <v>1387</v>
      </c>
      <c r="D191" t="s">
        <v>1316</v>
      </c>
      <c r="E191" t="s">
        <v>1458</v>
      </c>
    </row>
    <row r="192" spans="2:5">
      <c r="B192" s="3">
        <v>191</v>
      </c>
      <c r="C192" s="3" t="s">
        <v>1388</v>
      </c>
      <c r="D192" t="s">
        <v>1317</v>
      </c>
      <c r="E192" t="s">
        <v>1459</v>
      </c>
    </row>
    <row r="193" spans="1:5">
      <c r="B193" s="3">
        <v>192</v>
      </c>
      <c r="C193" s="3" t="s">
        <v>1389</v>
      </c>
      <c r="D193" t="s">
        <v>1318</v>
      </c>
      <c r="E193" t="s">
        <v>1460</v>
      </c>
    </row>
    <row r="194" spans="1:5">
      <c r="B194" s="3">
        <v>193</v>
      </c>
      <c r="C194" s="3" t="s">
        <v>1390</v>
      </c>
      <c r="D194" t="s">
        <v>1319</v>
      </c>
    </row>
    <row r="195" spans="1:5">
      <c r="B195" s="3">
        <v>194</v>
      </c>
      <c r="C195" s="3" t="s">
        <v>1391</v>
      </c>
      <c r="D195" t="s">
        <v>1320</v>
      </c>
      <c r="E195" t="s">
        <v>1461</v>
      </c>
    </row>
    <row r="196" spans="1:5">
      <c r="B196" s="3">
        <v>195</v>
      </c>
      <c r="C196" s="3" t="s">
        <v>1392</v>
      </c>
      <c r="D196" t="s">
        <v>1321</v>
      </c>
    </row>
    <row r="197" spans="1:5">
      <c r="B197" s="3">
        <v>196</v>
      </c>
      <c r="C197" s="3" t="s">
        <v>1393</v>
      </c>
      <c r="D197" t="s">
        <v>1322</v>
      </c>
      <c r="E197" t="s">
        <v>1462</v>
      </c>
    </row>
    <row r="198" spans="1:5">
      <c r="B198" s="3">
        <v>197</v>
      </c>
      <c r="C198" s="3" t="s">
        <v>1394</v>
      </c>
      <c r="D198" t="s">
        <v>1323</v>
      </c>
    </row>
    <row r="199" spans="1:5">
      <c r="B199" s="3">
        <v>198</v>
      </c>
      <c r="C199" s="3" t="s">
        <v>1395</v>
      </c>
      <c r="D199" t="s">
        <v>1324</v>
      </c>
      <c r="E199" t="s">
        <v>190</v>
      </c>
    </row>
    <row r="200" spans="1:5">
      <c r="B200" s="3">
        <v>199</v>
      </c>
      <c r="C200" s="3" t="s">
        <v>1396</v>
      </c>
      <c r="D200" t="s">
        <v>1325</v>
      </c>
    </row>
    <row r="201" spans="1:5">
      <c r="A201" s="3">
        <v>6</v>
      </c>
      <c r="B201" s="3">
        <v>200</v>
      </c>
      <c r="C201" s="3" t="s">
        <v>1427</v>
      </c>
      <c r="D201" t="s">
        <v>1397</v>
      </c>
    </row>
    <row r="202" spans="1:5">
      <c r="B202" s="3">
        <v>201</v>
      </c>
      <c r="C202" s="3" t="s">
        <v>1428</v>
      </c>
      <c r="D202" t="s">
        <v>1398</v>
      </c>
    </row>
    <row r="203" spans="1:5">
      <c r="B203" s="3">
        <v>202</v>
      </c>
      <c r="C203" s="3" t="s">
        <v>1429</v>
      </c>
      <c r="D203" t="s">
        <v>1399</v>
      </c>
    </row>
    <row r="204" spans="1:5">
      <c r="B204" s="3">
        <v>203</v>
      </c>
      <c r="C204" s="3" t="s">
        <v>1430</v>
      </c>
      <c r="D204" t="s">
        <v>1400</v>
      </c>
    </row>
    <row r="205" spans="1:5">
      <c r="B205" s="3">
        <v>204</v>
      </c>
      <c r="C205" s="3" t="s">
        <v>1431</v>
      </c>
      <c r="D205" t="s">
        <v>1401</v>
      </c>
    </row>
    <row r="206" spans="1:5">
      <c r="B206" s="3">
        <v>205</v>
      </c>
      <c r="C206" s="3" t="s">
        <v>1432</v>
      </c>
      <c r="D206" t="s">
        <v>1402</v>
      </c>
      <c r="E206" t="s">
        <v>967</v>
      </c>
    </row>
    <row r="207" spans="1:5">
      <c r="B207" s="3">
        <v>206</v>
      </c>
      <c r="C207" s="3" t="s">
        <v>1433</v>
      </c>
      <c r="D207" t="s">
        <v>1403</v>
      </c>
    </row>
    <row r="208" spans="1:5">
      <c r="B208" s="3">
        <v>207</v>
      </c>
      <c r="C208" s="3" t="s">
        <v>1434</v>
      </c>
      <c r="D208" t="s">
        <v>1404</v>
      </c>
      <c r="E208" t="s">
        <v>968</v>
      </c>
    </row>
    <row r="209" spans="2:5">
      <c r="B209" s="3">
        <v>208</v>
      </c>
      <c r="C209" s="3" t="s">
        <v>1435</v>
      </c>
      <c r="D209" t="s">
        <v>1405</v>
      </c>
    </row>
    <row r="210" spans="2:5">
      <c r="B210" s="3">
        <v>209</v>
      </c>
      <c r="C210" s="3" t="s">
        <v>1436</v>
      </c>
      <c r="D210" t="s">
        <v>1406</v>
      </c>
      <c r="E210" t="s">
        <v>1463</v>
      </c>
    </row>
    <row r="211" spans="2:5">
      <c r="B211" s="3">
        <v>210</v>
      </c>
      <c r="C211" s="3" t="s">
        <v>1437</v>
      </c>
      <c r="D211" t="s">
        <v>1407</v>
      </c>
      <c r="E211" t="s">
        <v>1464</v>
      </c>
    </row>
    <row r="212" spans="2:5">
      <c r="B212" s="3">
        <v>211</v>
      </c>
      <c r="C212" s="3" t="s">
        <v>1438</v>
      </c>
      <c r="D212" t="s">
        <v>1408</v>
      </c>
      <c r="E212" t="s">
        <v>1465</v>
      </c>
    </row>
    <row r="213" spans="2:5">
      <c r="B213" s="3">
        <v>212</v>
      </c>
      <c r="C213" s="3" t="s">
        <v>1439</v>
      </c>
      <c r="D213" t="s">
        <v>1409</v>
      </c>
      <c r="E213" t="s">
        <v>969</v>
      </c>
    </row>
    <row r="214" spans="2:5">
      <c r="B214" s="3">
        <v>213</v>
      </c>
      <c r="C214" s="3" t="s">
        <v>1440</v>
      </c>
      <c r="D214" t="s">
        <v>1410</v>
      </c>
    </row>
    <row r="215" spans="2:5">
      <c r="B215" s="3">
        <v>214</v>
      </c>
      <c r="C215" s="3" t="s">
        <v>1441</v>
      </c>
      <c r="D215" t="s">
        <v>1411</v>
      </c>
      <c r="E215" t="s">
        <v>1466</v>
      </c>
    </row>
    <row r="216" spans="2:5">
      <c r="B216" s="3">
        <v>215</v>
      </c>
      <c r="C216" s="3" t="s">
        <v>1442</v>
      </c>
      <c r="D216" t="s">
        <v>1412</v>
      </c>
    </row>
    <row r="217" spans="2:5">
      <c r="B217" s="3">
        <v>216</v>
      </c>
      <c r="C217" s="3" t="s">
        <v>1443</v>
      </c>
      <c r="D217" t="s">
        <v>1413</v>
      </c>
      <c r="E217" t="s">
        <v>1467</v>
      </c>
    </row>
    <row r="218" spans="2:5">
      <c r="B218" s="3">
        <v>217</v>
      </c>
      <c r="C218" s="3" t="s">
        <v>1444</v>
      </c>
      <c r="D218" t="s">
        <v>1414</v>
      </c>
      <c r="E218" t="s">
        <v>1468</v>
      </c>
    </row>
    <row r="219" spans="2:5">
      <c r="B219" s="3">
        <v>218</v>
      </c>
      <c r="C219" s="3" t="s">
        <v>1445</v>
      </c>
      <c r="D219" t="s">
        <v>1415</v>
      </c>
      <c r="E219" t="s">
        <v>1469</v>
      </c>
    </row>
    <row r="220" spans="2:5">
      <c r="B220" s="3">
        <v>219</v>
      </c>
      <c r="C220" s="3" t="s">
        <v>1446</v>
      </c>
      <c r="D220" t="s">
        <v>1416</v>
      </c>
      <c r="E220" t="s">
        <v>971</v>
      </c>
    </row>
    <row r="221" spans="2:5">
      <c r="B221" s="3">
        <v>220</v>
      </c>
      <c r="C221" s="3" t="s">
        <v>1447</v>
      </c>
      <c r="D221" t="s">
        <v>1417</v>
      </c>
    </row>
    <row r="222" spans="2:5">
      <c r="B222" s="3">
        <v>221</v>
      </c>
      <c r="C222" s="3" t="s">
        <v>1448</v>
      </c>
      <c r="D222" t="s">
        <v>1418</v>
      </c>
      <c r="E222" t="s">
        <v>1470</v>
      </c>
    </row>
    <row r="223" spans="2:5">
      <c r="B223" s="3">
        <v>222</v>
      </c>
      <c r="C223" s="3" t="s">
        <v>1449</v>
      </c>
      <c r="D223" t="s">
        <v>1419</v>
      </c>
    </row>
    <row r="224" spans="2:5">
      <c r="B224" s="3">
        <v>223</v>
      </c>
      <c r="C224" s="3" t="s">
        <v>1450</v>
      </c>
      <c r="D224" t="s">
        <v>1420</v>
      </c>
      <c r="E224" t="s">
        <v>1471</v>
      </c>
    </row>
    <row r="225" spans="1:5">
      <c r="B225" s="3">
        <v>224</v>
      </c>
      <c r="C225" s="3" t="s">
        <v>1451</v>
      </c>
      <c r="D225" t="s">
        <v>1421</v>
      </c>
      <c r="E225" t="s">
        <v>1472</v>
      </c>
    </row>
    <row r="226" spans="1:5">
      <c r="B226" s="3">
        <v>225</v>
      </c>
      <c r="C226" s="3" t="s">
        <v>1452</v>
      </c>
      <c r="D226" t="s">
        <v>1422</v>
      </c>
      <c r="E226" t="s">
        <v>1473</v>
      </c>
    </row>
    <row r="227" spans="1:5">
      <c r="B227" s="3">
        <v>226</v>
      </c>
      <c r="C227" s="3" t="s">
        <v>1453</v>
      </c>
      <c r="D227" t="s">
        <v>1423</v>
      </c>
      <c r="E227" t="s">
        <v>1474</v>
      </c>
    </row>
    <row r="228" spans="1:5">
      <c r="B228" s="3">
        <v>227</v>
      </c>
      <c r="C228" s="3" t="s">
        <v>1454</v>
      </c>
      <c r="D228" t="s">
        <v>1424</v>
      </c>
    </row>
    <row r="229" spans="1:5">
      <c r="B229" s="3">
        <v>228</v>
      </c>
      <c r="C229" s="3" t="s">
        <v>1455</v>
      </c>
      <c r="D229" t="s">
        <v>1425</v>
      </c>
      <c r="E229" t="s">
        <v>1475</v>
      </c>
    </row>
    <row r="230" spans="1:5">
      <c r="B230" s="3">
        <v>229</v>
      </c>
      <c r="C230" s="3" t="s">
        <v>1456</v>
      </c>
      <c r="D230" t="s">
        <v>1426</v>
      </c>
    </row>
    <row r="231" spans="1:5">
      <c r="A231" s="3">
        <v>7</v>
      </c>
      <c r="B231" s="3">
        <v>230</v>
      </c>
      <c r="C231" s="3" t="s">
        <v>1551</v>
      </c>
      <c r="D231" s="43" t="s">
        <v>1476</v>
      </c>
    </row>
    <row r="232" spans="1:5">
      <c r="B232" s="3">
        <v>231</v>
      </c>
      <c r="C232" s="3" t="s">
        <v>1552</v>
      </c>
      <c r="D232" s="43" t="s">
        <v>1477</v>
      </c>
    </row>
    <row r="233" spans="1:5">
      <c r="B233" s="3">
        <v>232</v>
      </c>
      <c r="C233" s="3" t="s">
        <v>1553</v>
      </c>
      <c r="D233" s="43" t="s">
        <v>1478</v>
      </c>
    </row>
    <row r="234" spans="1:5">
      <c r="B234" s="3">
        <v>233</v>
      </c>
      <c r="C234" s="3" t="s">
        <v>1554</v>
      </c>
      <c r="D234" s="43" t="s">
        <v>1479</v>
      </c>
    </row>
    <row r="235" spans="1:5">
      <c r="B235" s="3">
        <v>234</v>
      </c>
      <c r="C235" s="3" t="s">
        <v>1555</v>
      </c>
      <c r="D235" s="43" t="s">
        <v>1480</v>
      </c>
    </row>
    <row r="236" spans="1:5">
      <c r="B236" s="3">
        <v>235</v>
      </c>
      <c r="C236" s="3" t="s">
        <v>1556</v>
      </c>
      <c r="D236" s="43" t="s">
        <v>1481</v>
      </c>
      <c r="E236" t="s">
        <v>1546</v>
      </c>
    </row>
    <row r="237" spans="1:5">
      <c r="B237" s="3">
        <v>236</v>
      </c>
      <c r="C237" s="3" t="s">
        <v>1557</v>
      </c>
      <c r="D237" s="43" t="s">
        <v>1482</v>
      </c>
      <c r="E237" t="s">
        <v>1547</v>
      </c>
    </row>
    <row r="238" spans="1:5">
      <c r="B238" s="3">
        <v>237</v>
      </c>
      <c r="C238" s="3" t="s">
        <v>1558</v>
      </c>
      <c r="D238" s="43" t="s">
        <v>1483</v>
      </c>
      <c r="E238" t="s">
        <v>1548</v>
      </c>
    </row>
    <row r="239" spans="1:5">
      <c r="B239" s="3">
        <v>238</v>
      </c>
      <c r="C239" s="3" t="s">
        <v>1559</v>
      </c>
      <c r="D239" s="43" t="s">
        <v>1484</v>
      </c>
      <c r="E239" t="s">
        <v>1549</v>
      </c>
    </row>
    <row r="240" spans="1:5">
      <c r="B240" s="3">
        <v>239</v>
      </c>
      <c r="C240" s="3" t="s">
        <v>1560</v>
      </c>
      <c r="D240" s="43" t="s">
        <v>1485</v>
      </c>
    </row>
    <row r="241" spans="2:5">
      <c r="B241" s="3">
        <v>240</v>
      </c>
      <c r="C241" s="3" t="s">
        <v>1561</v>
      </c>
      <c r="D241" s="43" t="s">
        <v>1486</v>
      </c>
      <c r="E241" t="s">
        <v>974</v>
      </c>
    </row>
    <row r="242" spans="2:5">
      <c r="B242" s="3">
        <v>241</v>
      </c>
      <c r="C242" s="3" t="s">
        <v>1562</v>
      </c>
      <c r="D242" s="43" t="s">
        <v>1487</v>
      </c>
    </row>
    <row r="243" spans="2:5">
      <c r="B243" s="3">
        <v>242</v>
      </c>
      <c r="C243" s="3" t="s">
        <v>1563</v>
      </c>
      <c r="D243" s="43" t="s">
        <v>1488</v>
      </c>
      <c r="E243" t="s">
        <v>975</v>
      </c>
    </row>
    <row r="244" spans="2:5">
      <c r="B244" s="3">
        <v>243</v>
      </c>
      <c r="C244" s="3" t="s">
        <v>1564</v>
      </c>
      <c r="D244" s="43" t="s">
        <v>1489</v>
      </c>
    </row>
    <row r="245" spans="2:5">
      <c r="B245" s="3">
        <v>244</v>
      </c>
      <c r="C245" s="3" t="s">
        <v>1565</v>
      </c>
      <c r="D245" s="43" t="s">
        <v>1490</v>
      </c>
      <c r="E245" t="s">
        <v>190</v>
      </c>
    </row>
    <row r="246" spans="2:5">
      <c r="B246" s="3">
        <v>245</v>
      </c>
      <c r="C246" s="3" t="s">
        <v>1566</v>
      </c>
      <c r="D246" s="43" t="s">
        <v>1491</v>
      </c>
    </row>
    <row r="247" spans="2:5">
      <c r="B247" s="3">
        <v>246</v>
      </c>
      <c r="C247" s="3" t="s">
        <v>1567</v>
      </c>
      <c r="D247" s="43" t="s">
        <v>1492</v>
      </c>
      <c r="E247" t="s">
        <v>1546</v>
      </c>
    </row>
    <row r="248" spans="2:5">
      <c r="B248" s="3">
        <v>247</v>
      </c>
      <c r="C248" s="3" t="s">
        <v>1568</v>
      </c>
      <c r="D248" s="43" t="s">
        <v>1493</v>
      </c>
      <c r="E248" t="s">
        <v>1547</v>
      </c>
    </row>
    <row r="249" spans="2:5">
      <c r="B249" s="3">
        <v>248</v>
      </c>
      <c r="C249" s="3" t="s">
        <v>1569</v>
      </c>
      <c r="D249" s="43" t="s">
        <v>1494</v>
      </c>
      <c r="E249" t="s">
        <v>1548</v>
      </c>
    </row>
    <row r="250" spans="2:5">
      <c r="B250" s="3">
        <v>249</v>
      </c>
      <c r="C250" s="3" t="s">
        <v>1570</v>
      </c>
      <c r="D250" s="43" t="s">
        <v>1495</v>
      </c>
      <c r="E250" t="s">
        <v>1549</v>
      </c>
    </row>
    <row r="251" spans="2:5">
      <c r="B251" s="3">
        <v>250</v>
      </c>
      <c r="C251" s="3" t="s">
        <v>1571</v>
      </c>
      <c r="D251" s="43" t="s">
        <v>1496</v>
      </c>
    </row>
    <row r="252" spans="2:5">
      <c r="B252" s="3">
        <v>251</v>
      </c>
      <c r="C252" s="3" t="s">
        <v>1572</v>
      </c>
      <c r="D252" s="43" t="s">
        <v>1497</v>
      </c>
      <c r="E252" t="s">
        <v>974</v>
      </c>
    </row>
    <row r="253" spans="2:5">
      <c r="B253" s="3">
        <v>252</v>
      </c>
      <c r="C253" s="3" t="s">
        <v>1573</v>
      </c>
      <c r="D253" s="43" t="s">
        <v>1498</v>
      </c>
    </row>
    <row r="254" spans="2:5">
      <c r="B254" s="3">
        <v>253</v>
      </c>
      <c r="C254" s="3" t="s">
        <v>1574</v>
      </c>
      <c r="D254" s="43" t="s">
        <v>1499</v>
      </c>
      <c r="E254" t="s">
        <v>975</v>
      </c>
    </row>
    <row r="255" spans="2:5">
      <c r="B255" s="3">
        <v>254</v>
      </c>
      <c r="C255" s="3" t="s">
        <v>1575</v>
      </c>
      <c r="D255" s="43" t="s">
        <v>1500</v>
      </c>
    </row>
    <row r="256" spans="2:5">
      <c r="B256" s="3">
        <v>255</v>
      </c>
      <c r="C256" s="3" t="s">
        <v>1576</v>
      </c>
      <c r="D256" s="43" t="s">
        <v>1501</v>
      </c>
      <c r="E256" t="s">
        <v>190</v>
      </c>
    </row>
    <row r="257" spans="2:5">
      <c r="B257" s="3">
        <v>256</v>
      </c>
      <c r="C257" s="3" t="s">
        <v>1577</v>
      </c>
      <c r="D257" s="43" t="s">
        <v>1502</v>
      </c>
    </row>
    <row r="258" spans="2:5">
      <c r="B258" s="3">
        <v>257</v>
      </c>
      <c r="C258" s="3" t="s">
        <v>1578</v>
      </c>
      <c r="D258" s="43" t="s">
        <v>1503</v>
      </c>
      <c r="E258" t="s">
        <v>1546</v>
      </c>
    </row>
    <row r="259" spans="2:5">
      <c r="B259" s="3">
        <v>258</v>
      </c>
      <c r="C259" s="3" t="s">
        <v>1579</v>
      </c>
      <c r="D259" s="43" t="s">
        <v>1504</v>
      </c>
      <c r="E259" t="s">
        <v>1547</v>
      </c>
    </row>
    <row r="260" spans="2:5">
      <c r="B260" s="3">
        <v>259</v>
      </c>
      <c r="C260" s="3" t="s">
        <v>1580</v>
      </c>
      <c r="D260" s="43" t="s">
        <v>1505</v>
      </c>
      <c r="E260" t="s">
        <v>1548</v>
      </c>
    </row>
    <row r="261" spans="2:5">
      <c r="B261" s="3">
        <v>260</v>
      </c>
      <c r="C261" s="3" t="s">
        <v>1581</v>
      </c>
      <c r="D261" s="43" t="s">
        <v>1506</v>
      </c>
      <c r="E261" t="s">
        <v>1549</v>
      </c>
    </row>
    <row r="262" spans="2:5">
      <c r="B262" s="3">
        <v>261</v>
      </c>
      <c r="C262" s="3" t="s">
        <v>1582</v>
      </c>
      <c r="D262" s="43" t="s">
        <v>1507</v>
      </c>
    </row>
    <row r="263" spans="2:5">
      <c r="B263" s="3">
        <v>262</v>
      </c>
      <c r="C263" s="3" t="s">
        <v>1583</v>
      </c>
      <c r="D263" s="43" t="s">
        <v>1508</v>
      </c>
      <c r="E263" t="s">
        <v>974</v>
      </c>
    </row>
    <row r="264" spans="2:5">
      <c r="B264" s="3">
        <v>263</v>
      </c>
      <c r="C264" s="3" t="s">
        <v>1584</v>
      </c>
      <c r="D264" s="43" t="s">
        <v>1509</v>
      </c>
    </row>
    <row r="265" spans="2:5">
      <c r="B265" s="3">
        <v>264</v>
      </c>
      <c r="C265" s="3" t="s">
        <v>1585</v>
      </c>
      <c r="D265" s="43" t="s">
        <v>1510</v>
      </c>
      <c r="E265" t="s">
        <v>975</v>
      </c>
    </row>
    <row r="266" spans="2:5">
      <c r="B266" s="3">
        <v>265</v>
      </c>
      <c r="C266" s="3" t="s">
        <v>1586</v>
      </c>
      <c r="D266" s="43" t="s">
        <v>1511</v>
      </c>
    </row>
    <row r="267" spans="2:5">
      <c r="B267" s="3">
        <v>266</v>
      </c>
      <c r="C267" s="3" t="s">
        <v>1587</v>
      </c>
      <c r="D267" s="43" t="s">
        <v>1512</v>
      </c>
      <c r="E267" t="s">
        <v>190</v>
      </c>
    </row>
    <row r="268" spans="2:5">
      <c r="B268" s="3">
        <v>267</v>
      </c>
      <c r="C268" s="3" t="s">
        <v>1588</v>
      </c>
      <c r="D268" s="43" t="s">
        <v>1513</v>
      </c>
    </row>
    <row r="269" spans="2:5">
      <c r="B269" s="3">
        <v>268</v>
      </c>
      <c r="C269" s="3" t="s">
        <v>1589</v>
      </c>
      <c r="D269" s="43" t="s">
        <v>1514</v>
      </c>
      <c r="E269" t="s">
        <v>1546</v>
      </c>
    </row>
    <row r="270" spans="2:5">
      <c r="B270" s="3">
        <v>269</v>
      </c>
      <c r="C270" s="3" t="s">
        <v>1590</v>
      </c>
      <c r="D270" s="43" t="s">
        <v>1515</v>
      </c>
      <c r="E270" t="s">
        <v>1547</v>
      </c>
    </row>
    <row r="271" spans="2:5">
      <c r="B271" s="3">
        <v>270</v>
      </c>
      <c r="C271" s="3" t="s">
        <v>1591</v>
      </c>
      <c r="D271" s="43" t="s">
        <v>1516</v>
      </c>
      <c r="E271" t="s">
        <v>1548</v>
      </c>
    </row>
    <row r="272" spans="2:5">
      <c r="B272" s="3">
        <v>271</v>
      </c>
      <c r="C272" s="3" t="s">
        <v>1592</v>
      </c>
      <c r="D272" s="43" t="s">
        <v>1517</v>
      </c>
      <c r="E272" t="s">
        <v>1549</v>
      </c>
    </row>
    <row r="273" spans="2:5">
      <c r="B273" s="3">
        <v>272</v>
      </c>
      <c r="C273" s="3" t="s">
        <v>1593</v>
      </c>
      <c r="D273" s="43" t="s">
        <v>1518</v>
      </c>
    </row>
    <row r="274" spans="2:5">
      <c r="B274" s="3">
        <v>273</v>
      </c>
      <c r="C274" s="3" t="s">
        <v>1594</v>
      </c>
      <c r="D274" s="43" t="s">
        <v>1519</v>
      </c>
      <c r="E274" t="s">
        <v>974</v>
      </c>
    </row>
    <row r="275" spans="2:5">
      <c r="B275" s="3">
        <v>274</v>
      </c>
      <c r="C275" s="3" t="s">
        <v>1595</v>
      </c>
      <c r="D275" s="43" t="s">
        <v>1520</v>
      </c>
    </row>
    <row r="276" spans="2:5">
      <c r="B276" s="3">
        <v>275</v>
      </c>
      <c r="C276" s="3" t="s">
        <v>1596</v>
      </c>
      <c r="D276" s="43" t="s">
        <v>1521</v>
      </c>
      <c r="E276" t="s">
        <v>975</v>
      </c>
    </row>
    <row r="277" spans="2:5">
      <c r="B277" s="3">
        <v>276</v>
      </c>
      <c r="C277" s="3" t="s">
        <v>1597</v>
      </c>
      <c r="D277" s="43" t="s">
        <v>1522</v>
      </c>
    </row>
    <row r="278" spans="2:5">
      <c r="B278" s="3">
        <v>277</v>
      </c>
      <c r="C278" s="3" t="s">
        <v>1598</v>
      </c>
      <c r="D278" s="43" t="s">
        <v>1523</v>
      </c>
      <c r="E278" t="s">
        <v>190</v>
      </c>
    </row>
    <row r="279" spans="2:5">
      <c r="B279" s="3">
        <v>278</v>
      </c>
      <c r="C279" s="3" t="s">
        <v>1599</v>
      </c>
      <c r="D279" s="43" t="s">
        <v>1524</v>
      </c>
    </row>
    <row r="280" spans="2:5">
      <c r="B280" s="3">
        <v>279</v>
      </c>
      <c r="C280" s="3" t="s">
        <v>1600</v>
      </c>
      <c r="D280" s="43" t="s">
        <v>1525</v>
      </c>
      <c r="E280" t="s">
        <v>1546</v>
      </c>
    </row>
    <row r="281" spans="2:5">
      <c r="B281" s="3">
        <v>280</v>
      </c>
      <c r="C281" s="3" t="s">
        <v>1601</v>
      </c>
      <c r="D281" s="43" t="s">
        <v>1526</v>
      </c>
      <c r="E281" t="s">
        <v>1547</v>
      </c>
    </row>
    <row r="282" spans="2:5">
      <c r="B282" s="3">
        <v>281</v>
      </c>
      <c r="C282" s="3" t="s">
        <v>1602</v>
      </c>
      <c r="D282" s="43" t="s">
        <v>1527</v>
      </c>
      <c r="E282" t="s">
        <v>1548</v>
      </c>
    </row>
    <row r="283" spans="2:5">
      <c r="B283" s="3">
        <v>282</v>
      </c>
      <c r="C283" s="3" t="s">
        <v>1603</v>
      </c>
      <c r="D283" s="43" t="s">
        <v>1528</v>
      </c>
      <c r="E283" t="s">
        <v>1549</v>
      </c>
    </row>
    <row r="284" spans="2:5">
      <c r="B284" s="3">
        <v>283</v>
      </c>
      <c r="C284" s="3" t="s">
        <v>1604</v>
      </c>
      <c r="D284" s="43" t="s">
        <v>1529</v>
      </c>
    </row>
    <row r="285" spans="2:5">
      <c r="B285" s="3">
        <v>284</v>
      </c>
      <c r="C285" s="3" t="s">
        <v>1605</v>
      </c>
      <c r="D285" s="43" t="s">
        <v>1530</v>
      </c>
      <c r="E285" t="s">
        <v>974</v>
      </c>
    </row>
    <row r="286" spans="2:5">
      <c r="B286" s="3">
        <v>285</v>
      </c>
      <c r="C286" s="3" t="s">
        <v>1606</v>
      </c>
      <c r="D286" s="43" t="s">
        <v>1531</v>
      </c>
    </row>
    <row r="287" spans="2:5">
      <c r="B287" s="3">
        <v>286</v>
      </c>
      <c r="C287" s="3" t="s">
        <v>1607</v>
      </c>
      <c r="D287" s="43" t="s">
        <v>1532</v>
      </c>
      <c r="E287" t="s">
        <v>975</v>
      </c>
    </row>
    <row r="288" spans="2:5">
      <c r="B288" s="3">
        <v>287</v>
      </c>
      <c r="C288" s="3" t="s">
        <v>1608</v>
      </c>
      <c r="D288" s="43" t="s">
        <v>1533</v>
      </c>
    </row>
    <row r="289" spans="1:5">
      <c r="B289" s="3">
        <v>288</v>
      </c>
      <c r="C289" s="3" t="s">
        <v>1609</v>
      </c>
      <c r="D289" s="43" t="s">
        <v>1534</v>
      </c>
      <c r="E289" t="s">
        <v>190</v>
      </c>
    </row>
    <row r="290" spans="1:5">
      <c r="B290" s="3">
        <v>289</v>
      </c>
      <c r="C290" s="3" t="s">
        <v>1610</v>
      </c>
      <c r="D290" s="43" t="s">
        <v>1535</v>
      </c>
    </row>
    <row r="291" spans="1:5">
      <c r="B291" s="3">
        <v>290</v>
      </c>
      <c r="C291" s="3" t="s">
        <v>1611</v>
      </c>
      <c r="D291" s="43" t="s">
        <v>1536</v>
      </c>
      <c r="E291" t="s">
        <v>1546</v>
      </c>
    </row>
    <row r="292" spans="1:5">
      <c r="B292" s="3">
        <v>291</v>
      </c>
      <c r="C292" s="3" t="s">
        <v>1612</v>
      </c>
      <c r="D292" s="43" t="s">
        <v>1537</v>
      </c>
      <c r="E292" t="s">
        <v>1547</v>
      </c>
    </row>
    <row r="293" spans="1:5">
      <c r="B293" s="3">
        <v>292</v>
      </c>
      <c r="C293" s="3" t="s">
        <v>1613</v>
      </c>
      <c r="D293" s="43" t="s">
        <v>1538</v>
      </c>
      <c r="E293" t="s">
        <v>1548</v>
      </c>
    </row>
    <row r="294" spans="1:5">
      <c r="B294" s="3">
        <v>293</v>
      </c>
      <c r="C294" s="3" t="s">
        <v>1614</v>
      </c>
      <c r="D294" s="43" t="s">
        <v>1539</v>
      </c>
      <c r="E294" t="s">
        <v>1549</v>
      </c>
    </row>
    <row r="295" spans="1:5">
      <c r="B295" s="3">
        <v>294</v>
      </c>
      <c r="C295" s="3" t="s">
        <v>1615</v>
      </c>
      <c r="D295" s="43" t="s">
        <v>1540</v>
      </c>
    </row>
    <row r="296" spans="1:5">
      <c r="B296" s="3">
        <v>295</v>
      </c>
      <c r="C296" s="3" t="s">
        <v>1616</v>
      </c>
      <c r="D296" s="43" t="s">
        <v>1541</v>
      </c>
      <c r="E296" t="s">
        <v>974</v>
      </c>
    </row>
    <row r="297" spans="1:5">
      <c r="B297" s="3">
        <v>296</v>
      </c>
      <c r="C297" s="3" t="s">
        <v>1617</v>
      </c>
      <c r="D297" s="43" t="s">
        <v>1542</v>
      </c>
    </row>
    <row r="298" spans="1:5">
      <c r="B298" s="3">
        <v>297</v>
      </c>
      <c r="C298" s="3" t="s">
        <v>1618</v>
      </c>
      <c r="D298" s="43" t="s">
        <v>1543</v>
      </c>
      <c r="E298" t="s">
        <v>975</v>
      </c>
    </row>
    <row r="299" spans="1:5">
      <c r="B299" s="3">
        <v>298</v>
      </c>
      <c r="C299" s="3" t="s">
        <v>1619</v>
      </c>
      <c r="D299" s="43" t="s">
        <v>1544</v>
      </c>
    </row>
    <row r="300" spans="1:5">
      <c r="B300" s="3">
        <v>299</v>
      </c>
      <c r="C300" s="3" t="s">
        <v>1620</v>
      </c>
      <c r="D300" s="43" t="s">
        <v>1545</v>
      </c>
      <c r="E300" t="s">
        <v>190</v>
      </c>
    </row>
    <row r="301" spans="1:5">
      <c r="B301" s="3">
        <v>300</v>
      </c>
      <c r="C301" s="3" t="s">
        <v>1621</v>
      </c>
      <c r="D301" s="43" t="s">
        <v>1622</v>
      </c>
    </row>
    <row r="302" spans="1:5">
      <c r="A302" s="3">
        <v>8</v>
      </c>
      <c r="B302" s="3">
        <v>301</v>
      </c>
      <c r="C302" s="3" t="s">
        <v>1661</v>
      </c>
      <c r="D302" s="43" t="s">
        <v>1623</v>
      </c>
    </row>
    <row r="303" spans="1:5">
      <c r="B303" s="3">
        <v>302</v>
      </c>
      <c r="C303" s="3" t="s">
        <v>1662</v>
      </c>
      <c r="D303" s="43" t="s">
        <v>1624</v>
      </c>
    </row>
    <row r="304" spans="1:5">
      <c r="B304" s="3">
        <v>303</v>
      </c>
      <c r="C304" s="3" t="s">
        <v>1663</v>
      </c>
      <c r="D304" s="43" t="s">
        <v>1625</v>
      </c>
    </row>
    <row r="305" spans="2:5">
      <c r="B305" s="3">
        <v>304</v>
      </c>
      <c r="C305" s="3" t="s">
        <v>1664</v>
      </c>
      <c r="D305" s="43" t="s">
        <v>1626</v>
      </c>
    </row>
    <row r="306" spans="2:5">
      <c r="B306" s="3">
        <v>305</v>
      </c>
      <c r="C306" s="3" t="s">
        <v>1665</v>
      </c>
      <c r="D306" s="43" t="s">
        <v>1627</v>
      </c>
    </row>
    <row r="307" spans="2:5">
      <c r="B307" s="3">
        <v>306</v>
      </c>
      <c r="C307" s="3" t="s">
        <v>1666</v>
      </c>
      <c r="D307" s="43" t="s">
        <v>1628</v>
      </c>
      <c r="E307" t="s">
        <v>1679</v>
      </c>
    </row>
    <row r="308" spans="2:5">
      <c r="B308" s="3">
        <v>307</v>
      </c>
      <c r="C308" s="3" t="s">
        <v>1667</v>
      </c>
      <c r="D308" s="43" t="s">
        <v>1629</v>
      </c>
      <c r="E308" t="s">
        <v>1680</v>
      </c>
    </row>
    <row r="309" spans="2:5">
      <c r="B309" s="3">
        <v>308</v>
      </c>
      <c r="C309" s="3" t="s">
        <v>1668</v>
      </c>
      <c r="D309" s="43" t="s">
        <v>1630</v>
      </c>
      <c r="E309" t="s">
        <v>1681</v>
      </c>
    </row>
    <row r="310" spans="2:5">
      <c r="B310" s="3">
        <v>309</v>
      </c>
      <c r="C310" s="3" t="s">
        <v>1669</v>
      </c>
      <c r="D310" s="43" t="s">
        <v>1631</v>
      </c>
      <c r="E310" t="s">
        <v>1682</v>
      </c>
    </row>
    <row r="311" spans="2:5">
      <c r="B311" s="3">
        <v>310</v>
      </c>
      <c r="C311" s="3" t="s">
        <v>1670</v>
      </c>
      <c r="D311" s="43" t="s">
        <v>1632</v>
      </c>
      <c r="E311" t="s">
        <v>1683</v>
      </c>
    </row>
    <row r="312" spans="2:5">
      <c r="B312" s="3">
        <v>311</v>
      </c>
      <c r="C312" s="3">
        <v>4420</v>
      </c>
      <c r="D312" s="43" t="s">
        <v>1633</v>
      </c>
      <c r="E312" t="s">
        <v>1684</v>
      </c>
    </row>
    <row r="313" spans="2:5">
      <c r="B313" s="3">
        <v>312</v>
      </c>
      <c r="C313" s="3" t="s">
        <v>1671</v>
      </c>
      <c r="D313" s="43" t="s">
        <v>1634</v>
      </c>
      <c r="E313" t="s">
        <v>1685</v>
      </c>
    </row>
    <row r="314" spans="2:5">
      <c r="B314" s="3">
        <v>313</v>
      </c>
      <c r="C314" s="3" t="s">
        <v>1672</v>
      </c>
      <c r="D314" s="43" t="s">
        <v>1635</v>
      </c>
      <c r="E314" t="s">
        <v>1686</v>
      </c>
    </row>
    <row r="315" spans="2:5">
      <c r="B315" s="3">
        <v>314</v>
      </c>
      <c r="C315" s="3" t="s">
        <v>1673</v>
      </c>
      <c r="D315" s="43" t="s">
        <v>1636</v>
      </c>
      <c r="E315" t="s">
        <v>1687</v>
      </c>
    </row>
    <row r="316" spans="2:5">
      <c r="B316" s="3">
        <v>315</v>
      </c>
      <c r="C316" s="3" t="s">
        <v>1674</v>
      </c>
      <c r="D316" s="43" t="s">
        <v>1637</v>
      </c>
      <c r="E316" t="s">
        <v>1686</v>
      </c>
    </row>
    <row r="317" spans="2:5">
      <c r="B317" s="3">
        <v>316</v>
      </c>
      <c r="C317" s="3" t="s">
        <v>1675</v>
      </c>
      <c r="D317" s="43" t="s">
        <v>1638</v>
      </c>
      <c r="E317" t="s">
        <v>1688</v>
      </c>
    </row>
    <row r="318" spans="2:5">
      <c r="B318" s="3">
        <v>317</v>
      </c>
      <c r="C318" s="3" t="s">
        <v>1676</v>
      </c>
      <c r="D318" s="43" t="s">
        <v>1639</v>
      </c>
      <c r="E318" t="s">
        <v>1689</v>
      </c>
    </row>
    <row r="319" spans="2:5">
      <c r="B319" s="3">
        <v>318</v>
      </c>
      <c r="C319" s="3" t="s">
        <v>1677</v>
      </c>
      <c r="D319" s="43" t="s">
        <v>1640</v>
      </c>
      <c r="E319" t="s">
        <v>1690</v>
      </c>
    </row>
    <row r="320" spans="2:5">
      <c r="B320" s="3">
        <v>319</v>
      </c>
      <c r="C320" s="3" t="s">
        <v>1678</v>
      </c>
      <c r="D320" s="43" t="s">
        <v>1641</v>
      </c>
      <c r="E320" t="s">
        <v>1691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65EB-BF85-4911-BA2F-86EC74DE94CA}">
  <dimension ref="B1:I39"/>
  <sheetViews>
    <sheetView workbookViewId="0">
      <selection activeCell="D1" sqref="D1:D19"/>
    </sheetView>
  </sheetViews>
  <sheetFormatPr defaultRowHeight="14.5"/>
  <cols>
    <col min="7" max="7" width="11" bestFit="1" customWidth="1"/>
  </cols>
  <sheetData>
    <row r="1" spans="2:9">
      <c r="B1" t="s">
        <v>1231</v>
      </c>
      <c r="D1" t="str">
        <f>MID(B3,2,4)</f>
        <v>2088</v>
      </c>
      <c r="I1" t="s">
        <v>1550</v>
      </c>
    </row>
    <row r="2" spans="2:9">
      <c r="B2" t="s">
        <v>1623</v>
      </c>
      <c r="D2" t="str">
        <f>MID(B5,2,4)</f>
        <v>4421</v>
      </c>
    </row>
    <row r="3" spans="2:9">
      <c r="B3" t="s">
        <v>1642</v>
      </c>
      <c r="D3" t="str">
        <f>MID(B7,2,4)</f>
        <v>4422</v>
      </c>
    </row>
    <row r="4" spans="2:9">
      <c r="B4" t="s">
        <v>1624</v>
      </c>
      <c r="D4" t="str">
        <f>MID(B9,2,4)</f>
        <v>2087</v>
      </c>
    </row>
    <row r="5" spans="2:9">
      <c r="B5" t="s">
        <v>1643</v>
      </c>
      <c r="D5" t="str">
        <f>MID(B11,2,4)</f>
        <v>2086</v>
      </c>
    </row>
    <row r="6" spans="2:9">
      <c r="B6" t="s">
        <v>1625</v>
      </c>
      <c r="D6" t="str">
        <f>MID(B13,2,4)</f>
        <v>4403</v>
      </c>
    </row>
    <row r="7" spans="2:9">
      <c r="B7" t="s">
        <v>1644</v>
      </c>
      <c r="D7" t="str">
        <f>MID(B15,2,4)</f>
        <v>4408</v>
      </c>
    </row>
    <row r="8" spans="2:9">
      <c r="B8" t="s">
        <v>1626</v>
      </c>
      <c r="D8" t="str">
        <f>MID(B17,2,4)</f>
        <v>4415</v>
      </c>
    </row>
    <row r="9" spans="2:9">
      <c r="B9" t="s">
        <v>1645</v>
      </c>
      <c r="D9" t="str">
        <f>MID(B19,2,4)</f>
        <v>4417</v>
      </c>
    </row>
    <row r="10" spans="2:9">
      <c r="B10" t="s">
        <v>1627</v>
      </c>
      <c r="D10" t="str">
        <f>MID(B21,2,4)</f>
        <v>4418</v>
      </c>
    </row>
    <row r="11" spans="2:9">
      <c r="B11" t="s">
        <v>1646</v>
      </c>
      <c r="D11" t="str">
        <f>MID(B23,2,4)</f>
        <v>4419</v>
      </c>
    </row>
    <row r="12" spans="2:9">
      <c r="B12" t="s">
        <v>1628</v>
      </c>
      <c r="D12" t="str">
        <f>MID(B25,2,4)</f>
        <v>4404</v>
      </c>
    </row>
    <row r="13" spans="2:9">
      <c r="B13" t="s">
        <v>1647</v>
      </c>
      <c r="D13" t="str">
        <f>MID(B27,2,4)</f>
        <v>4405</v>
      </c>
    </row>
    <row r="14" spans="2:9">
      <c r="B14" t="s">
        <v>1629</v>
      </c>
      <c r="D14" t="str">
        <f>MID(B29,2,4)</f>
        <v>4406</v>
      </c>
    </row>
    <row r="15" spans="2:9">
      <c r="B15" t="s">
        <v>1648</v>
      </c>
      <c r="D15" t="str">
        <f>MID(B31,2,4)</f>
        <v>4407</v>
      </c>
    </row>
    <row r="16" spans="2:9">
      <c r="B16" t="s">
        <v>1630</v>
      </c>
      <c r="D16" t="str">
        <f>MID(B33,2,4)</f>
        <v>4409</v>
      </c>
    </row>
    <row r="17" spans="2:4">
      <c r="B17" t="s">
        <v>1649</v>
      </c>
      <c r="D17" t="str">
        <f>MID(B35,2,4)</f>
        <v>4410</v>
      </c>
    </row>
    <row r="18" spans="2:4">
      <c r="B18" t="s">
        <v>1631</v>
      </c>
      <c r="D18" t="str">
        <f>MID(B37,2,4)</f>
        <v>4411</v>
      </c>
    </row>
    <row r="19" spans="2:4">
      <c r="B19" t="s">
        <v>1650</v>
      </c>
      <c r="D19" t="str">
        <f>MID(B39,2,4)</f>
        <v>4413</v>
      </c>
    </row>
    <row r="20" spans="2:4">
      <c r="B20" t="s">
        <v>1632</v>
      </c>
    </row>
    <row r="21" spans="2:4">
      <c r="B21" t="s">
        <v>1651</v>
      </c>
    </row>
    <row r="22" spans="2:4">
      <c r="B22" t="s">
        <v>1633</v>
      </c>
    </row>
    <row r="23" spans="2:4">
      <c r="B23" t="s">
        <v>1652</v>
      </c>
    </row>
    <row r="24" spans="2:4">
      <c r="B24" t="s">
        <v>1634</v>
      </c>
    </row>
    <row r="25" spans="2:4">
      <c r="B25" t="s">
        <v>1653</v>
      </c>
    </row>
    <row r="26" spans="2:4">
      <c r="B26" t="s">
        <v>1635</v>
      </c>
    </row>
    <row r="27" spans="2:4">
      <c r="B27" t="s">
        <v>1654</v>
      </c>
    </row>
    <row r="28" spans="2:4">
      <c r="B28" t="s">
        <v>1636</v>
      </c>
    </row>
    <row r="29" spans="2:4">
      <c r="B29" t="s">
        <v>1655</v>
      </c>
    </row>
    <row r="30" spans="2:4">
      <c r="B30" t="s">
        <v>1637</v>
      </c>
    </row>
    <row r="31" spans="2:4">
      <c r="B31" t="s">
        <v>1656</v>
      </c>
    </row>
    <row r="32" spans="2:4">
      <c r="B32" t="s">
        <v>1638</v>
      </c>
    </row>
    <row r="33" spans="2:2">
      <c r="B33" t="s">
        <v>1657</v>
      </c>
    </row>
    <row r="34" spans="2:2">
      <c r="B34" t="s">
        <v>1639</v>
      </c>
    </row>
    <row r="35" spans="2:2">
      <c r="B35" t="s">
        <v>1658</v>
      </c>
    </row>
    <row r="36" spans="2:2">
      <c r="B36" t="s">
        <v>1640</v>
      </c>
    </row>
    <row r="37" spans="2:2">
      <c r="B37" t="s">
        <v>1659</v>
      </c>
    </row>
    <row r="38" spans="2:2">
      <c r="B38" t="s">
        <v>1641</v>
      </c>
    </row>
    <row r="39" spans="2:2">
      <c r="B39" t="s">
        <v>1660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F651-3127-4709-8A5B-51F8E413C1B8}">
  <dimension ref="A1:K54"/>
  <sheetViews>
    <sheetView workbookViewId="0">
      <selection activeCell="C14" sqref="C14"/>
    </sheetView>
  </sheetViews>
  <sheetFormatPr defaultRowHeight="14.5"/>
  <cols>
    <col min="1" max="1" width="20.54296875" style="3" bestFit="1" customWidth="1"/>
    <col min="2" max="2" width="19.7265625" style="3" bestFit="1" customWidth="1"/>
    <col min="3" max="3" width="35" style="3" customWidth="1"/>
    <col min="4" max="4" width="22" style="3" bestFit="1" customWidth="1"/>
    <col min="5" max="5" width="18.08984375" style="3" bestFit="1" customWidth="1"/>
    <col min="6" max="6" width="43.453125" style="3" customWidth="1"/>
    <col min="7" max="7" width="31.54296875" style="3" bestFit="1" customWidth="1"/>
    <col min="8" max="8" width="16.26953125" style="3" bestFit="1" customWidth="1"/>
    <col min="9" max="9" width="37.453125" style="3" customWidth="1"/>
    <col min="10" max="10" width="20.1796875" style="3" bestFit="1" customWidth="1"/>
    <col min="11" max="11" width="18.54296875" style="3" bestFit="1" customWidth="1"/>
    <col min="12" max="16384" width="8.7265625" style="3"/>
  </cols>
  <sheetData>
    <row r="1" spans="1:11" s="60" customFormat="1">
      <c r="A1" s="60" t="s">
        <v>878</v>
      </c>
      <c r="D1" s="60" t="s">
        <v>809</v>
      </c>
      <c r="G1" s="60" t="s">
        <v>831</v>
      </c>
      <c r="J1" s="60" t="s">
        <v>856</v>
      </c>
    </row>
    <row r="2" spans="1:11">
      <c r="A2" s="66" t="s">
        <v>783</v>
      </c>
      <c r="B2" s="2"/>
      <c r="C2" s="2"/>
      <c r="D2" s="66" t="s">
        <v>810</v>
      </c>
      <c r="E2" s="66" t="s">
        <v>810</v>
      </c>
      <c r="F2" s="2"/>
      <c r="G2" s="2" t="s">
        <v>832</v>
      </c>
      <c r="H2" s="2"/>
      <c r="I2" s="2"/>
      <c r="J2" s="2" t="s">
        <v>857</v>
      </c>
      <c r="K2" s="2" t="s">
        <v>857</v>
      </c>
    </row>
    <row r="3" spans="1:11">
      <c r="A3" s="65" t="s">
        <v>59</v>
      </c>
      <c r="B3" s="2"/>
      <c r="C3" s="2"/>
      <c r="D3" s="65" t="s">
        <v>60</v>
      </c>
      <c r="E3" s="3" t="s">
        <v>912</v>
      </c>
      <c r="G3" s="3" t="s">
        <v>302</v>
      </c>
      <c r="J3" s="3" t="s">
        <v>275</v>
      </c>
      <c r="K3" s="3" t="s">
        <v>915</v>
      </c>
    </row>
    <row r="4" spans="1:11">
      <c r="A4" s="3" t="s">
        <v>250</v>
      </c>
      <c r="B4" s="2"/>
      <c r="C4" s="2"/>
      <c r="D4" s="3" t="s">
        <v>274</v>
      </c>
      <c r="E4" s="3" t="s">
        <v>913</v>
      </c>
      <c r="G4" s="3" t="s">
        <v>303</v>
      </c>
      <c r="J4" s="3" t="s">
        <v>59</v>
      </c>
      <c r="K4" s="3" t="s">
        <v>750</v>
      </c>
    </row>
    <row r="5" spans="1:11">
      <c r="A5" s="3" t="s">
        <v>370</v>
      </c>
      <c r="B5" s="2"/>
      <c r="C5" s="2"/>
      <c r="D5" s="3" t="s">
        <v>811</v>
      </c>
      <c r="E5" s="3" t="s">
        <v>914</v>
      </c>
      <c r="G5" s="3" t="s">
        <v>686</v>
      </c>
      <c r="J5" s="3" t="s">
        <v>273</v>
      </c>
      <c r="K5" s="3" t="s">
        <v>916</v>
      </c>
    </row>
    <row r="6" spans="1:11">
      <c r="A6" s="3" t="s">
        <v>249</v>
      </c>
      <c r="B6" s="2"/>
      <c r="C6" s="2"/>
      <c r="D6" s="3" t="s">
        <v>272</v>
      </c>
      <c r="E6" s="3" t="s">
        <v>812</v>
      </c>
      <c r="G6" s="3" t="s">
        <v>726</v>
      </c>
      <c r="J6" s="3" t="s">
        <v>858</v>
      </c>
      <c r="K6" s="3" t="s">
        <v>751</v>
      </c>
    </row>
    <row r="7" spans="1:11">
      <c r="A7" s="3" t="s">
        <v>347</v>
      </c>
      <c r="B7" s="2"/>
      <c r="C7" s="2"/>
      <c r="D7" s="3" t="s">
        <v>345</v>
      </c>
      <c r="E7" s="3" t="s">
        <v>248</v>
      </c>
      <c r="G7" s="3" t="s">
        <v>727</v>
      </c>
      <c r="J7" s="3" t="s">
        <v>372</v>
      </c>
      <c r="K7" s="3" t="s">
        <v>752</v>
      </c>
    </row>
    <row r="8" spans="1:11">
      <c r="A8" s="3" t="s">
        <v>784</v>
      </c>
      <c r="B8" s="2"/>
      <c r="C8" s="2"/>
      <c r="D8" s="3" t="s">
        <v>276</v>
      </c>
      <c r="E8" s="3" t="s">
        <v>370</v>
      </c>
      <c r="G8" s="3" t="s">
        <v>833</v>
      </c>
      <c r="J8" s="3" t="s">
        <v>251</v>
      </c>
      <c r="K8" s="3" t="s">
        <v>753</v>
      </c>
    </row>
    <row r="9" spans="1:11">
      <c r="A9" s="3" t="s">
        <v>785</v>
      </c>
      <c r="B9" s="2"/>
      <c r="C9" s="2"/>
      <c r="D9" s="3" t="s">
        <v>812</v>
      </c>
      <c r="E9" s="3" t="s">
        <v>250</v>
      </c>
      <c r="G9" s="3" t="s">
        <v>834</v>
      </c>
      <c r="J9" s="3" t="s">
        <v>252</v>
      </c>
      <c r="K9" s="3" t="s">
        <v>917</v>
      </c>
    </row>
    <row r="10" spans="1:11">
      <c r="B10" s="2"/>
      <c r="C10" s="2"/>
    </row>
    <row r="11" spans="1:11">
      <c r="A11" s="66" t="s">
        <v>786</v>
      </c>
      <c r="B11" s="2" t="s">
        <v>786</v>
      </c>
      <c r="C11" s="2"/>
      <c r="D11" s="66" t="s">
        <v>813</v>
      </c>
      <c r="E11" s="66" t="s">
        <v>813</v>
      </c>
      <c r="F11" s="2"/>
      <c r="G11" s="2" t="s">
        <v>835</v>
      </c>
      <c r="H11" s="2" t="s">
        <v>835</v>
      </c>
      <c r="I11" s="2"/>
      <c r="J11" s="2" t="s">
        <v>859</v>
      </c>
      <c r="K11" s="2" t="s">
        <v>859</v>
      </c>
    </row>
    <row r="12" spans="1:11">
      <c r="A12" s="3" t="s">
        <v>253</v>
      </c>
      <c r="B12" s="3" t="s">
        <v>879</v>
      </c>
      <c r="C12" s="2"/>
      <c r="D12" s="3" t="s">
        <v>278</v>
      </c>
      <c r="E12" s="65" t="s">
        <v>58</v>
      </c>
      <c r="G12" s="3" t="s">
        <v>362</v>
      </c>
      <c r="H12" s="3" t="s">
        <v>888</v>
      </c>
      <c r="J12" s="3" t="s">
        <v>56</v>
      </c>
      <c r="K12" s="3" t="s">
        <v>895</v>
      </c>
    </row>
    <row r="13" spans="1:11">
      <c r="A13" s="3" t="s">
        <v>254</v>
      </c>
      <c r="B13" s="3" t="s">
        <v>650</v>
      </c>
      <c r="C13" s="2"/>
      <c r="D13" s="3" t="s">
        <v>814</v>
      </c>
      <c r="E13" s="3" t="s">
        <v>254</v>
      </c>
      <c r="G13" s="3" t="s">
        <v>836</v>
      </c>
      <c r="H13" s="3" t="s">
        <v>889</v>
      </c>
      <c r="J13" s="3" t="s">
        <v>593</v>
      </c>
      <c r="K13" s="3" t="s">
        <v>896</v>
      </c>
    </row>
    <row r="14" spans="1:11">
      <c r="A14" s="3" t="s">
        <v>688</v>
      </c>
      <c r="B14" s="3" t="s">
        <v>880</v>
      </c>
      <c r="C14" s="2"/>
      <c r="D14" s="3" t="s">
        <v>815</v>
      </c>
      <c r="E14" s="3" t="s">
        <v>884</v>
      </c>
      <c r="G14" s="3" t="s">
        <v>837</v>
      </c>
      <c r="H14" s="3" t="s">
        <v>890</v>
      </c>
      <c r="J14" s="3" t="s">
        <v>860</v>
      </c>
      <c r="K14" s="3" t="s">
        <v>897</v>
      </c>
    </row>
    <row r="15" spans="1:11">
      <c r="A15" s="3" t="s">
        <v>689</v>
      </c>
      <c r="B15" s="3" t="s">
        <v>881</v>
      </c>
      <c r="C15" s="2"/>
      <c r="D15" s="3" t="s">
        <v>280</v>
      </c>
      <c r="E15" s="65" t="s">
        <v>885</v>
      </c>
      <c r="G15" s="3" t="s">
        <v>838</v>
      </c>
      <c r="H15" s="3" t="s">
        <v>891</v>
      </c>
      <c r="J15" s="3" t="s">
        <v>754</v>
      </c>
      <c r="K15" s="3" t="s">
        <v>898</v>
      </c>
    </row>
    <row r="16" spans="1:11">
      <c r="A16" s="3" t="s">
        <v>690</v>
      </c>
      <c r="B16" s="3" t="s">
        <v>882</v>
      </c>
      <c r="C16" s="2"/>
      <c r="D16" s="3" t="s">
        <v>715</v>
      </c>
      <c r="E16" s="3" t="s">
        <v>886</v>
      </c>
      <c r="G16" s="3" t="s">
        <v>839</v>
      </c>
      <c r="H16" s="3" t="s">
        <v>892</v>
      </c>
      <c r="J16" s="3" t="s">
        <v>755</v>
      </c>
      <c r="K16" s="3" t="s">
        <v>55</v>
      </c>
    </row>
    <row r="17" spans="1:11">
      <c r="A17" s="3" t="s">
        <v>787</v>
      </c>
      <c r="B17" s="3" t="s">
        <v>883</v>
      </c>
      <c r="C17" s="2"/>
      <c r="D17" s="3" t="s">
        <v>714</v>
      </c>
      <c r="E17" s="65" t="s">
        <v>597</v>
      </c>
      <c r="G17" s="3" t="s">
        <v>840</v>
      </c>
      <c r="H17" s="3" t="s">
        <v>893</v>
      </c>
      <c r="J17" s="3" t="s">
        <v>757</v>
      </c>
      <c r="K17" s="3" t="s">
        <v>253</v>
      </c>
    </row>
    <row r="18" spans="1:11">
      <c r="A18" s="3" t="s">
        <v>691</v>
      </c>
      <c r="B18" s="3" t="s">
        <v>259</v>
      </c>
      <c r="C18" s="2"/>
      <c r="D18" s="3" t="s">
        <v>816</v>
      </c>
      <c r="E18" s="65" t="s">
        <v>887</v>
      </c>
      <c r="G18" s="3" t="s">
        <v>841</v>
      </c>
      <c r="H18" s="3" t="s">
        <v>894</v>
      </c>
      <c r="J18" s="3" t="s">
        <v>861</v>
      </c>
      <c r="K18" s="3" t="s">
        <v>899</v>
      </c>
    </row>
    <row r="19" spans="1:11">
      <c r="B19" s="2"/>
      <c r="C19" s="2"/>
    </row>
    <row r="20" spans="1:11">
      <c r="A20" s="66" t="s">
        <v>788</v>
      </c>
      <c r="B20" s="2"/>
      <c r="C20" s="2"/>
      <c r="D20" s="66" t="s">
        <v>817</v>
      </c>
      <c r="E20" s="66" t="s">
        <v>817</v>
      </c>
      <c r="F20" s="2"/>
      <c r="G20" s="2" t="s">
        <v>842</v>
      </c>
      <c r="H20" s="2"/>
      <c r="I20" s="2"/>
      <c r="J20" s="2" t="s">
        <v>862</v>
      </c>
      <c r="K20" s="2" t="s">
        <v>862</v>
      </c>
    </row>
    <row r="21" spans="1:11">
      <c r="A21" s="3" t="s">
        <v>255</v>
      </c>
      <c r="B21" s="2"/>
      <c r="C21" s="2"/>
      <c r="D21" s="3" t="s">
        <v>284</v>
      </c>
      <c r="E21" s="3" t="s">
        <v>906</v>
      </c>
      <c r="G21" s="3" t="s">
        <v>533</v>
      </c>
      <c r="J21" s="3" t="s">
        <v>758</v>
      </c>
      <c r="K21" s="3" t="s">
        <v>918</v>
      </c>
    </row>
    <row r="22" spans="1:11">
      <c r="A22" s="3" t="s">
        <v>257</v>
      </c>
      <c r="B22" s="2"/>
      <c r="C22" s="2"/>
      <c r="D22" s="3" t="s">
        <v>818</v>
      </c>
      <c r="E22" s="3" t="s">
        <v>907</v>
      </c>
      <c r="G22" s="3" t="s">
        <v>843</v>
      </c>
      <c r="J22" s="3" t="s">
        <v>759</v>
      </c>
      <c r="K22" s="3" t="s">
        <v>290</v>
      </c>
    </row>
    <row r="23" spans="1:11">
      <c r="A23" s="3" t="s">
        <v>256</v>
      </c>
      <c r="B23" s="2"/>
      <c r="C23" s="2"/>
      <c r="D23" s="3" t="s">
        <v>283</v>
      </c>
      <c r="E23" s="3" t="s">
        <v>908</v>
      </c>
      <c r="G23" s="3" t="s">
        <v>844</v>
      </c>
      <c r="J23" s="3" t="s">
        <v>608</v>
      </c>
      <c r="K23" s="3" t="s">
        <v>919</v>
      </c>
    </row>
    <row r="24" spans="1:11">
      <c r="A24" s="3" t="s">
        <v>789</v>
      </c>
      <c r="D24" s="3" t="s">
        <v>687</v>
      </c>
      <c r="E24" s="3" t="s">
        <v>909</v>
      </c>
      <c r="G24" s="3" t="s">
        <v>845</v>
      </c>
      <c r="J24" s="3" t="s">
        <v>761</v>
      </c>
      <c r="K24" s="3" t="s">
        <v>920</v>
      </c>
    </row>
    <row r="25" spans="1:11">
      <c r="A25" s="3" t="s">
        <v>790</v>
      </c>
      <c r="D25" s="3" t="s">
        <v>286</v>
      </c>
      <c r="E25" s="3" t="s">
        <v>762</v>
      </c>
      <c r="G25" s="3" t="s">
        <v>293</v>
      </c>
      <c r="J25" s="3" t="s">
        <v>760</v>
      </c>
      <c r="K25" s="3" t="s">
        <v>921</v>
      </c>
    </row>
    <row r="26" spans="1:11">
      <c r="A26" s="3" t="s">
        <v>349</v>
      </c>
      <c r="D26" s="3" t="s">
        <v>290</v>
      </c>
      <c r="E26" s="3" t="s">
        <v>910</v>
      </c>
      <c r="G26" s="3" t="s">
        <v>295</v>
      </c>
      <c r="J26" s="3" t="s">
        <v>863</v>
      </c>
      <c r="K26" s="3" t="s">
        <v>922</v>
      </c>
    </row>
    <row r="27" spans="1:11">
      <c r="A27" s="3" t="s">
        <v>791</v>
      </c>
      <c r="D27" s="3" t="s">
        <v>285</v>
      </c>
      <c r="E27" s="3" t="s">
        <v>911</v>
      </c>
      <c r="G27" s="3" t="s">
        <v>846</v>
      </c>
      <c r="J27" s="3" t="s">
        <v>762</v>
      </c>
      <c r="K27" s="3" t="s">
        <v>923</v>
      </c>
    </row>
    <row r="29" spans="1:11">
      <c r="A29" s="66" t="s">
        <v>792</v>
      </c>
      <c r="B29" s="66" t="s">
        <v>792</v>
      </c>
      <c r="C29" s="2"/>
      <c r="D29" s="66" t="s">
        <v>819</v>
      </c>
      <c r="E29" s="66" t="s">
        <v>819</v>
      </c>
      <c r="F29" s="2"/>
      <c r="G29" s="2" t="s">
        <v>847</v>
      </c>
      <c r="H29" s="2"/>
      <c r="I29" s="2"/>
      <c r="J29" s="2" t="s">
        <v>864</v>
      </c>
    </row>
    <row r="30" spans="1:11">
      <c r="A30" s="3" t="s">
        <v>793</v>
      </c>
      <c r="B30" s="3" t="s">
        <v>259</v>
      </c>
      <c r="D30" s="3" t="s">
        <v>820</v>
      </c>
      <c r="E30" s="3" t="s">
        <v>924</v>
      </c>
      <c r="G30" s="3" t="s">
        <v>309</v>
      </c>
      <c r="J30" s="3" t="s">
        <v>684</v>
      </c>
    </row>
    <row r="31" spans="1:11">
      <c r="A31" s="3" t="s">
        <v>794</v>
      </c>
      <c r="B31" s="3" t="s">
        <v>260</v>
      </c>
      <c r="D31" s="3" t="s">
        <v>774</v>
      </c>
      <c r="E31" s="3" t="s">
        <v>925</v>
      </c>
      <c r="G31" s="3" t="s">
        <v>310</v>
      </c>
      <c r="J31" s="3" t="s">
        <v>865</v>
      </c>
    </row>
    <row r="32" spans="1:11">
      <c r="A32" s="3" t="s">
        <v>795</v>
      </c>
      <c r="B32" s="3" t="s">
        <v>258</v>
      </c>
      <c r="D32" s="3" t="s">
        <v>821</v>
      </c>
      <c r="E32" s="3" t="s">
        <v>926</v>
      </c>
      <c r="G32" s="3" t="s">
        <v>311</v>
      </c>
      <c r="J32" s="3" t="s">
        <v>866</v>
      </c>
    </row>
    <row r="33" spans="1:10">
      <c r="A33" s="3" t="s">
        <v>796</v>
      </c>
      <c r="B33" s="3" t="s">
        <v>261</v>
      </c>
      <c r="D33" s="3" t="s">
        <v>822</v>
      </c>
      <c r="E33" s="3" t="s">
        <v>927</v>
      </c>
      <c r="G33" s="3" t="s">
        <v>313</v>
      </c>
      <c r="J33" s="3" t="s">
        <v>867</v>
      </c>
    </row>
    <row r="34" spans="1:10">
      <c r="A34" s="3" t="s">
        <v>797</v>
      </c>
      <c r="B34" s="3" t="s">
        <v>262</v>
      </c>
      <c r="D34" s="3" t="s">
        <v>823</v>
      </c>
      <c r="E34" s="3" t="s">
        <v>928</v>
      </c>
      <c r="G34" s="3" t="s">
        <v>314</v>
      </c>
      <c r="J34" s="3" t="s">
        <v>287</v>
      </c>
    </row>
    <row r="35" spans="1:10">
      <c r="A35" s="3" t="s">
        <v>798</v>
      </c>
      <c r="B35" s="3" t="s">
        <v>904</v>
      </c>
      <c r="D35" s="3" t="s">
        <v>824</v>
      </c>
      <c r="E35" s="3" t="s">
        <v>822</v>
      </c>
      <c r="G35" s="3" t="s">
        <v>312</v>
      </c>
      <c r="J35" s="3" t="s">
        <v>868</v>
      </c>
    </row>
    <row r="36" spans="1:10">
      <c r="A36" s="3" t="s">
        <v>799</v>
      </c>
      <c r="B36" s="3" t="s">
        <v>905</v>
      </c>
      <c r="D36" s="3" t="s">
        <v>652</v>
      </c>
      <c r="E36" s="3" t="s">
        <v>681</v>
      </c>
      <c r="G36" s="3" t="s">
        <v>315</v>
      </c>
      <c r="J36" s="3" t="s">
        <v>869</v>
      </c>
    </row>
    <row r="38" spans="1:10">
      <c r="A38" s="66" t="s">
        <v>800</v>
      </c>
      <c r="B38" s="2"/>
      <c r="C38" s="2"/>
      <c r="D38" s="66" t="s">
        <v>825</v>
      </c>
      <c r="E38" s="66" t="s">
        <v>825</v>
      </c>
      <c r="F38" s="2"/>
      <c r="G38" s="2" t="s">
        <v>848</v>
      </c>
      <c r="H38" s="2"/>
      <c r="I38" s="2"/>
      <c r="J38" s="2" t="s">
        <v>870</v>
      </c>
    </row>
    <row r="39" spans="1:10">
      <c r="A39" s="65" t="s">
        <v>263</v>
      </c>
      <c r="D39" s="3" t="s">
        <v>826</v>
      </c>
      <c r="E39" s="3" t="s">
        <v>294</v>
      </c>
      <c r="G39" s="3" t="s">
        <v>849</v>
      </c>
      <c r="J39" s="3" t="s">
        <v>766</v>
      </c>
    </row>
    <row r="40" spans="1:10">
      <c r="A40" s="3" t="s">
        <v>264</v>
      </c>
      <c r="D40" s="3" t="s">
        <v>356</v>
      </c>
      <c r="E40" s="3" t="s">
        <v>293</v>
      </c>
      <c r="G40" s="3" t="s">
        <v>747</v>
      </c>
      <c r="J40" s="3" t="s">
        <v>771</v>
      </c>
    </row>
    <row r="41" spans="1:10">
      <c r="A41" s="3" t="s">
        <v>265</v>
      </c>
      <c r="D41" s="3" t="s">
        <v>353</v>
      </c>
      <c r="E41" s="3" t="s">
        <v>900</v>
      </c>
      <c r="G41" s="3" t="s">
        <v>850</v>
      </c>
      <c r="J41" s="3" t="s">
        <v>768</v>
      </c>
    </row>
    <row r="42" spans="1:10">
      <c r="A42" s="3" t="s">
        <v>801</v>
      </c>
      <c r="D42" s="3" t="s">
        <v>827</v>
      </c>
      <c r="E42" s="3" t="s">
        <v>901</v>
      </c>
      <c r="G42" s="3" t="s">
        <v>316</v>
      </c>
      <c r="J42" s="3" t="s">
        <v>636</v>
      </c>
    </row>
    <row r="43" spans="1:10">
      <c r="A43" s="3" t="s">
        <v>418</v>
      </c>
      <c r="D43" s="3" t="s">
        <v>354</v>
      </c>
      <c r="E43" s="3" t="s">
        <v>902</v>
      </c>
      <c r="G43" s="3" t="s">
        <v>851</v>
      </c>
      <c r="J43" s="3" t="s">
        <v>871</v>
      </c>
    </row>
    <row r="44" spans="1:10">
      <c r="A44" s="3" t="s">
        <v>802</v>
      </c>
      <c r="D44" s="3" t="s">
        <v>357</v>
      </c>
      <c r="E44" s="3" t="s">
        <v>889</v>
      </c>
      <c r="G44" s="3" t="s">
        <v>852</v>
      </c>
      <c r="J44" s="3" t="s">
        <v>872</v>
      </c>
    </row>
    <row r="45" spans="1:10">
      <c r="A45" s="3" t="s">
        <v>803</v>
      </c>
      <c r="D45" s="3" t="s">
        <v>359</v>
      </c>
      <c r="E45" s="3" t="s">
        <v>903</v>
      </c>
      <c r="G45" s="3" t="s">
        <v>853</v>
      </c>
      <c r="J45" s="3" t="s">
        <v>446</v>
      </c>
    </row>
    <row r="47" spans="1:10">
      <c r="A47" s="66" t="s">
        <v>804</v>
      </c>
      <c r="B47" s="2"/>
      <c r="C47" s="2"/>
      <c r="D47" s="66" t="s">
        <v>828</v>
      </c>
      <c r="E47" s="2"/>
      <c r="F47" s="2"/>
      <c r="G47" s="2" t="s">
        <v>854</v>
      </c>
      <c r="H47" s="2"/>
      <c r="I47" s="2"/>
      <c r="J47" s="2" t="s">
        <v>873</v>
      </c>
    </row>
    <row r="48" spans="1:10">
      <c r="A48" s="3" t="s">
        <v>269</v>
      </c>
      <c r="D48" s="3" t="s">
        <v>296</v>
      </c>
      <c r="G48" s="3" t="s">
        <v>855</v>
      </c>
      <c r="J48" s="3" t="s">
        <v>650</v>
      </c>
    </row>
    <row r="49" spans="1:10">
      <c r="A49" s="3" t="s">
        <v>805</v>
      </c>
      <c r="D49" s="3" t="s">
        <v>829</v>
      </c>
      <c r="G49" s="3" t="s">
        <v>318</v>
      </c>
      <c r="J49" s="3" t="s">
        <v>874</v>
      </c>
    </row>
    <row r="50" spans="1:10">
      <c r="A50" s="3" t="s">
        <v>270</v>
      </c>
      <c r="D50" s="3" t="s">
        <v>830</v>
      </c>
      <c r="G50" s="3" t="s">
        <v>319</v>
      </c>
      <c r="J50" s="3" t="s">
        <v>875</v>
      </c>
    </row>
    <row r="51" spans="1:10">
      <c r="A51" s="3" t="s">
        <v>806</v>
      </c>
      <c r="D51" s="3" t="s">
        <v>297</v>
      </c>
      <c r="G51" s="3" t="s">
        <v>780</v>
      </c>
      <c r="J51" s="3" t="s">
        <v>876</v>
      </c>
    </row>
    <row r="52" spans="1:10">
      <c r="A52" s="3" t="s">
        <v>807</v>
      </c>
      <c r="D52" s="3" t="s">
        <v>299</v>
      </c>
      <c r="G52" s="3" t="s">
        <v>777</v>
      </c>
      <c r="J52" s="3" t="s">
        <v>775</v>
      </c>
    </row>
    <row r="53" spans="1:10">
      <c r="A53" s="3" t="s">
        <v>271</v>
      </c>
      <c r="D53" s="3" t="s">
        <v>360</v>
      </c>
      <c r="G53" s="3" t="s">
        <v>778</v>
      </c>
      <c r="J53" s="3" t="s">
        <v>877</v>
      </c>
    </row>
    <row r="54" spans="1:10">
      <c r="A54" s="3" t="s">
        <v>808</v>
      </c>
      <c r="D54" s="3" t="s">
        <v>301</v>
      </c>
      <c r="G54" s="3" t="s">
        <v>308</v>
      </c>
      <c r="J54" s="3" t="s">
        <v>772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F0CD-C386-47AB-9038-794B73FD9E79}">
  <dimension ref="A2:U90"/>
  <sheetViews>
    <sheetView workbookViewId="0">
      <selection activeCell="R31" sqref="R31:U39"/>
    </sheetView>
  </sheetViews>
  <sheetFormatPr defaultRowHeight="14.5"/>
  <cols>
    <col min="1" max="1" width="8.7265625" style="3"/>
    <col min="2" max="2" width="10.36328125" style="3" bestFit="1" customWidth="1"/>
    <col min="3" max="16" width="8.7265625" style="3"/>
    <col min="17" max="17" width="13.36328125" style="3" bestFit="1" customWidth="1"/>
    <col min="18" max="18" width="10.7265625" style="3" bestFit="1" customWidth="1"/>
    <col min="19" max="16384" width="8.7265625" style="3"/>
  </cols>
  <sheetData>
    <row r="2" spans="2:8">
      <c r="B2" s="3" t="s">
        <v>48</v>
      </c>
    </row>
    <row r="3" spans="2:8">
      <c r="B3" s="3" t="s">
        <v>86</v>
      </c>
      <c r="C3" s="3">
        <v>1</v>
      </c>
      <c r="D3" s="3">
        <v>3</v>
      </c>
      <c r="E3" s="3">
        <v>6</v>
      </c>
      <c r="F3" s="3">
        <v>5</v>
      </c>
      <c r="G3" s="3">
        <v>2</v>
      </c>
      <c r="H3" s="3">
        <v>4</v>
      </c>
    </row>
    <row r="4" spans="2:8">
      <c r="B4" s="3" t="s">
        <v>87</v>
      </c>
      <c r="C4" s="3">
        <v>5</v>
      </c>
      <c r="D4" s="3">
        <v>1</v>
      </c>
      <c r="E4" s="3">
        <v>3</v>
      </c>
      <c r="F4" s="3">
        <v>2</v>
      </c>
      <c r="G4" s="3">
        <v>6</v>
      </c>
      <c r="H4" s="3">
        <v>4</v>
      </c>
    </row>
    <row r="5" spans="2:8">
      <c r="B5" s="3" t="s">
        <v>88</v>
      </c>
      <c r="C5" s="3">
        <v>2</v>
      </c>
      <c r="D5" s="3">
        <v>6</v>
      </c>
      <c r="E5" s="3">
        <v>1</v>
      </c>
      <c r="F5" s="3">
        <v>4</v>
      </c>
      <c r="G5" s="3">
        <v>3</v>
      </c>
      <c r="H5" s="3">
        <v>5</v>
      </c>
    </row>
    <row r="6" spans="2:8">
      <c r="B6" s="3" t="s">
        <v>89</v>
      </c>
      <c r="C6" s="3">
        <v>3</v>
      </c>
      <c r="D6" s="3">
        <v>5</v>
      </c>
      <c r="E6" s="3">
        <v>2</v>
      </c>
      <c r="F6" s="3">
        <v>6</v>
      </c>
      <c r="G6" s="3">
        <v>4</v>
      </c>
      <c r="H6" s="3">
        <v>1</v>
      </c>
    </row>
    <row r="7" spans="2:8">
      <c r="B7" s="3" t="s">
        <v>90</v>
      </c>
      <c r="C7" s="3">
        <v>6</v>
      </c>
      <c r="D7" s="3">
        <v>4</v>
      </c>
      <c r="E7" s="3">
        <v>5</v>
      </c>
      <c r="F7" s="3">
        <v>1</v>
      </c>
      <c r="G7" s="3">
        <v>3</v>
      </c>
      <c r="H7" s="3">
        <v>2</v>
      </c>
    </row>
    <row r="8" spans="2:8">
      <c r="B8" s="3" t="s">
        <v>91</v>
      </c>
      <c r="C8" s="3">
        <v>4</v>
      </c>
      <c r="D8" s="3">
        <v>2</v>
      </c>
      <c r="E8" s="3">
        <v>4</v>
      </c>
      <c r="F8" s="3">
        <v>3</v>
      </c>
      <c r="G8" s="3">
        <v>1</v>
      </c>
      <c r="H8" s="3">
        <v>6</v>
      </c>
    </row>
    <row r="10" spans="2:8">
      <c r="B10" s="3" t="s">
        <v>49</v>
      </c>
      <c r="C10" s="60"/>
      <c r="D10" s="60"/>
      <c r="E10" s="60"/>
      <c r="F10" s="60"/>
      <c r="G10" s="60"/>
      <c r="H10" s="60"/>
    </row>
    <row r="11" spans="2:8">
      <c r="B11" s="3" t="s">
        <v>86</v>
      </c>
      <c r="C11" s="3">
        <v>1</v>
      </c>
      <c r="D11" s="3">
        <v>6</v>
      </c>
      <c r="E11" s="3">
        <v>4</v>
      </c>
      <c r="F11" s="3">
        <v>2</v>
      </c>
      <c r="G11" s="3">
        <v>5</v>
      </c>
      <c r="H11" s="3">
        <v>3</v>
      </c>
    </row>
    <row r="12" spans="2:8">
      <c r="B12" s="3" t="s">
        <v>87</v>
      </c>
      <c r="C12" s="3">
        <v>4</v>
      </c>
      <c r="D12" s="3">
        <v>2</v>
      </c>
      <c r="E12" s="3">
        <v>5</v>
      </c>
      <c r="F12" s="3">
        <v>3</v>
      </c>
      <c r="G12" s="3">
        <v>6</v>
      </c>
      <c r="H12" s="3">
        <v>1</v>
      </c>
    </row>
    <row r="13" spans="2:8">
      <c r="B13" s="3" t="s">
        <v>88</v>
      </c>
      <c r="C13" s="3">
        <v>6</v>
      </c>
      <c r="D13" s="3">
        <v>1</v>
      </c>
      <c r="E13" s="3">
        <v>3</v>
      </c>
      <c r="F13" s="3">
        <v>5</v>
      </c>
      <c r="G13" s="3">
        <v>4</v>
      </c>
      <c r="H13" s="3">
        <v>2</v>
      </c>
    </row>
    <row r="14" spans="2:8">
      <c r="B14" s="3" t="s">
        <v>89</v>
      </c>
      <c r="C14" s="3">
        <v>3</v>
      </c>
      <c r="D14" s="3">
        <v>5</v>
      </c>
      <c r="E14" s="3">
        <v>1</v>
      </c>
      <c r="F14" s="3">
        <v>6</v>
      </c>
      <c r="G14" s="3">
        <v>2</v>
      </c>
      <c r="H14" s="3">
        <v>4</v>
      </c>
    </row>
    <row r="15" spans="2:8">
      <c r="B15" s="3" t="s">
        <v>90</v>
      </c>
      <c r="C15" s="3">
        <v>2</v>
      </c>
      <c r="D15" s="3">
        <v>4</v>
      </c>
      <c r="E15" s="3">
        <v>6</v>
      </c>
      <c r="F15" s="3">
        <v>1</v>
      </c>
      <c r="G15" s="3">
        <v>3</v>
      </c>
      <c r="H15" s="3">
        <v>5</v>
      </c>
    </row>
    <row r="16" spans="2:8">
      <c r="B16" s="3" t="s">
        <v>91</v>
      </c>
      <c r="C16" s="3">
        <v>5</v>
      </c>
      <c r="D16" s="3">
        <v>3</v>
      </c>
      <c r="E16" s="3">
        <v>2</v>
      </c>
      <c r="F16" s="3">
        <v>4</v>
      </c>
      <c r="G16" s="3">
        <v>1</v>
      </c>
      <c r="H16" s="3">
        <v>6</v>
      </c>
    </row>
    <row r="18" spans="2:21">
      <c r="B18" s="3" t="s">
        <v>50</v>
      </c>
    </row>
    <row r="19" spans="2:21">
      <c r="B19" s="3" t="s">
        <v>86</v>
      </c>
      <c r="C19" s="3">
        <v>1</v>
      </c>
      <c r="D19" s="3">
        <v>4</v>
      </c>
      <c r="E19" s="3">
        <v>5</v>
      </c>
      <c r="F19" s="3">
        <v>6</v>
      </c>
      <c r="G19" s="3">
        <v>3</v>
      </c>
      <c r="H19" s="3">
        <v>2</v>
      </c>
    </row>
    <row r="20" spans="2:21">
      <c r="B20" s="3" t="s">
        <v>87</v>
      </c>
      <c r="C20" s="3">
        <v>6</v>
      </c>
      <c r="D20" s="3">
        <v>1</v>
      </c>
      <c r="E20" s="3">
        <v>4</v>
      </c>
      <c r="F20" s="3">
        <v>2</v>
      </c>
      <c r="G20" s="3">
        <v>5</v>
      </c>
      <c r="H20" s="3">
        <v>3</v>
      </c>
    </row>
    <row r="21" spans="2:21">
      <c r="B21" s="3" t="s">
        <v>88</v>
      </c>
      <c r="C21" s="3">
        <v>2</v>
      </c>
      <c r="D21" s="3">
        <v>5</v>
      </c>
      <c r="E21" s="3">
        <v>1</v>
      </c>
      <c r="F21" s="3">
        <v>3</v>
      </c>
      <c r="G21" s="3">
        <v>6</v>
      </c>
      <c r="H21" s="3">
        <v>4</v>
      </c>
    </row>
    <row r="22" spans="2:21">
      <c r="B22" s="3" t="s">
        <v>89</v>
      </c>
      <c r="C22" s="3">
        <v>3</v>
      </c>
      <c r="D22" s="3">
        <v>6</v>
      </c>
      <c r="E22" s="3">
        <v>2</v>
      </c>
      <c r="F22" s="3">
        <v>1</v>
      </c>
      <c r="G22" s="3">
        <v>4</v>
      </c>
      <c r="H22" s="3">
        <v>5</v>
      </c>
    </row>
    <row r="23" spans="2:21">
      <c r="B23" s="3" t="s">
        <v>90</v>
      </c>
      <c r="C23" s="3">
        <v>4</v>
      </c>
      <c r="D23" s="3">
        <v>2</v>
      </c>
      <c r="E23" s="3">
        <v>6</v>
      </c>
      <c r="F23" s="3">
        <v>5</v>
      </c>
      <c r="G23" s="3">
        <v>1</v>
      </c>
      <c r="H23" s="3">
        <v>3</v>
      </c>
    </row>
    <row r="24" spans="2:21">
      <c r="B24" s="3" t="s">
        <v>91</v>
      </c>
      <c r="C24" s="3">
        <v>5</v>
      </c>
      <c r="D24" s="3">
        <v>3</v>
      </c>
      <c r="E24" s="3">
        <v>4</v>
      </c>
      <c r="F24" s="3">
        <v>1</v>
      </c>
      <c r="G24" s="3">
        <v>2</v>
      </c>
      <c r="H24" s="3">
        <v>6</v>
      </c>
    </row>
    <row r="26" spans="2:21">
      <c r="B26" s="3" t="s">
        <v>51</v>
      </c>
    </row>
    <row r="27" spans="2:21">
      <c r="B27" s="3" t="s">
        <v>86</v>
      </c>
      <c r="C27" s="3">
        <v>1</v>
      </c>
      <c r="D27" s="3">
        <v>4</v>
      </c>
      <c r="E27" s="3">
        <v>6</v>
      </c>
      <c r="F27" s="3">
        <v>3</v>
      </c>
      <c r="G27" s="3">
        <v>5</v>
      </c>
      <c r="H27" s="3">
        <v>2</v>
      </c>
    </row>
    <row r="28" spans="2:21">
      <c r="B28" s="3" t="s">
        <v>87</v>
      </c>
      <c r="C28" s="3">
        <v>6</v>
      </c>
      <c r="D28" s="3">
        <v>1</v>
      </c>
      <c r="E28" s="3">
        <v>3</v>
      </c>
      <c r="F28" s="3">
        <v>5</v>
      </c>
      <c r="G28" s="3">
        <v>2</v>
      </c>
      <c r="H28" s="3">
        <v>4</v>
      </c>
    </row>
    <row r="29" spans="2:21">
      <c r="B29" s="3" t="s">
        <v>88</v>
      </c>
      <c r="C29" s="3">
        <v>2</v>
      </c>
      <c r="D29" s="3">
        <v>6</v>
      </c>
      <c r="E29" s="3">
        <v>1</v>
      </c>
      <c r="F29" s="3">
        <v>4</v>
      </c>
      <c r="G29" s="3">
        <v>3</v>
      </c>
      <c r="H29" s="3">
        <v>5</v>
      </c>
    </row>
    <row r="30" spans="2:21">
      <c r="B30" s="3" t="s">
        <v>89</v>
      </c>
      <c r="C30" s="3">
        <v>3</v>
      </c>
      <c r="D30" s="3">
        <v>5</v>
      </c>
      <c r="E30" s="3">
        <v>2</v>
      </c>
      <c r="F30" s="3">
        <v>6</v>
      </c>
      <c r="G30" s="3">
        <v>4</v>
      </c>
      <c r="H30" s="3">
        <v>1</v>
      </c>
    </row>
    <row r="31" spans="2:21">
      <c r="B31" s="3" t="s">
        <v>90</v>
      </c>
      <c r="C31" s="3">
        <v>4</v>
      </c>
      <c r="D31" s="3">
        <v>2</v>
      </c>
      <c r="E31" s="3">
        <v>5</v>
      </c>
      <c r="F31" s="3">
        <v>1</v>
      </c>
      <c r="G31" s="3">
        <v>6</v>
      </c>
      <c r="H31" s="3">
        <v>3</v>
      </c>
      <c r="S31" s="3" t="s">
        <v>950</v>
      </c>
      <c r="T31" s="3" t="s">
        <v>951</v>
      </c>
      <c r="U31" s="3" t="s">
        <v>947</v>
      </c>
    </row>
    <row r="32" spans="2:21">
      <c r="B32" s="3" t="s">
        <v>91</v>
      </c>
      <c r="C32" s="3">
        <v>5</v>
      </c>
      <c r="D32" s="3">
        <v>3</v>
      </c>
      <c r="E32" s="3">
        <v>4</v>
      </c>
      <c r="F32" s="3">
        <v>2</v>
      </c>
      <c r="G32" s="3">
        <v>1</v>
      </c>
      <c r="H32" s="3">
        <v>6</v>
      </c>
      <c r="R32" s="3" t="s">
        <v>942</v>
      </c>
      <c r="S32" s="3">
        <v>0</v>
      </c>
      <c r="T32" s="3">
        <v>0</v>
      </c>
      <c r="U32" s="3">
        <v>0</v>
      </c>
    </row>
    <row r="33" spans="2:21">
      <c r="R33" s="3" t="s">
        <v>943</v>
      </c>
      <c r="S33" s="3">
        <v>230</v>
      </c>
      <c r="T33" s="3">
        <v>159</v>
      </c>
      <c r="U33" s="3">
        <v>0</v>
      </c>
    </row>
    <row r="34" spans="2:21">
      <c r="R34" s="3" t="s">
        <v>944</v>
      </c>
      <c r="S34" s="3">
        <v>86</v>
      </c>
      <c r="T34" s="3">
        <v>180</v>
      </c>
      <c r="U34" s="3">
        <v>233</v>
      </c>
    </row>
    <row r="35" spans="2:21">
      <c r="R35" s="3" t="s">
        <v>945</v>
      </c>
      <c r="S35" s="3">
        <v>0</v>
      </c>
      <c r="T35" s="3">
        <v>158</v>
      </c>
      <c r="U35" s="3">
        <v>115</v>
      </c>
    </row>
    <row r="36" spans="2:21">
      <c r="R36" s="3" t="s">
        <v>946</v>
      </c>
      <c r="S36" s="3">
        <v>240</v>
      </c>
      <c r="T36" s="3">
        <v>228</v>
      </c>
      <c r="U36" s="3">
        <v>66</v>
      </c>
    </row>
    <row r="37" spans="2:21">
      <c r="R37" s="3" t="s">
        <v>947</v>
      </c>
      <c r="S37" s="3">
        <v>0</v>
      </c>
      <c r="T37" s="3">
        <v>114</v>
      </c>
      <c r="U37" s="3">
        <v>178</v>
      </c>
    </row>
    <row r="38" spans="2:21">
      <c r="B38" s="3" t="s">
        <v>103</v>
      </c>
      <c r="C38" s="3" t="str">
        <f t="shared" ref="C38:I38" si="0">B3</f>
        <v>i1</v>
      </c>
      <c r="D38" s="3">
        <f t="shared" si="0"/>
        <v>1</v>
      </c>
      <c r="E38" s="3">
        <f t="shared" si="0"/>
        <v>3</v>
      </c>
      <c r="F38" s="3">
        <f t="shared" si="0"/>
        <v>6</v>
      </c>
      <c r="G38" s="3">
        <f t="shared" si="0"/>
        <v>5</v>
      </c>
      <c r="H38" s="3">
        <f t="shared" si="0"/>
        <v>2</v>
      </c>
      <c r="I38" s="3">
        <f t="shared" si="0"/>
        <v>4</v>
      </c>
      <c r="R38" s="3" t="s">
        <v>948</v>
      </c>
      <c r="S38" s="3">
        <v>213</v>
      </c>
      <c r="T38" s="3">
        <v>94</v>
      </c>
      <c r="U38" s="3">
        <v>0</v>
      </c>
    </row>
    <row r="39" spans="2:21">
      <c r="B39" s="3" t="s">
        <v>104</v>
      </c>
      <c r="C39" s="3" t="str">
        <f t="shared" ref="C39:I39" si="1">B11</f>
        <v>i1</v>
      </c>
      <c r="D39" s="3">
        <f t="shared" si="1"/>
        <v>1</v>
      </c>
      <c r="E39" s="3">
        <f t="shared" si="1"/>
        <v>6</v>
      </c>
      <c r="F39" s="3">
        <f t="shared" si="1"/>
        <v>4</v>
      </c>
      <c r="G39" s="3">
        <f t="shared" si="1"/>
        <v>2</v>
      </c>
      <c r="H39" s="3">
        <f t="shared" si="1"/>
        <v>5</v>
      </c>
      <c r="I39" s="3">
        <f t="shared" si="1"/>
        <v>3</v>
      </c>
      <c r="R39" s="3" t="s">
        <v>949</v>
      </c>
      <c r="S39" s="3">
        <v>204</v>
      </c>
      <c r="T39" s="3">
        <v>121</v>
      </c>
      <c r="U39" s="3">
        <v>167</v>
      </c>
    </row>
    <row r="40" spans="2:21">
      <c r="B40" s="3" t="s">
        <v>105</v>
      </c>
      <c r="C40" s="3" t="str">
        <f t="shared" ref="C40:I40" si="2">B19</f>
        <v>i1</v>
      </c>
      <c r="D40" s="3">
        <f t="shared" si="2"/>
        <v>1</v>
      </c>
      <c r="E40" s="3">
        <f t="shared" si="2"/>
        <v>4</v>
      </c>
      <c r="F40" s="3">
        <f t="shared" si="2"/>
        <v>5</v>
      </c>
      <c r="G40" s="3">
        <f t="shared" si="2"/>
        <v>6</v>
      </c>
      <c r="H40" s="3">
        <f t="shared" si="2"/>
        <v>3</v>
      </c>
      <c r="I40" s="3">
        <f t="shared" si="2"/>
        <v>2</v>
      </c>
    </row>
    <row r="41" spans="2:21">
      <c r="B41" s="3" t="s">
        <v>106</v>
      </c>
      <c r="C41" s="3" t="str">
        <f t="shared" ref="C41:I41" si="3">B27</f>
        <v>i1</v>
      </c>
      <c r="D41" s="3">
        <f t="shared" si="3"/>
        <v>1</v>
      </c>
      <c r="E41" s="3">
        <f t="shared" si="3"/>
        <v>4</v>
      </c>
      <c r="F41" s="3">
        <f t="shared" si="3"/>
        <v>6</v>
      </c>
      <c r="G41" s="3">
        <f t="shared" si="3"/>
        <v>3</v>
      </c>
      <c r="H41" s="3">
        <f t="shared" si="3"/>
        <v>5</v>
      </c>
      <c r="I41" s="3">
        <f t="shared" si="3"/>
        <v>2</v>
      </c>
      <c r="J41" s="68"/>
      <c r="K41" s="68"/>
      <c r="L41" s="68"/>
    </row>
    <row r="43" spans="2:21">
      <c r="B43" s="3" t="s">
        <v>103</v>
      </c>
      <c r="C43" s="3" t="str">
        <f t="shared" ref="C43:I43" si="4">B4</f>
        <v>i2</v>
      </c>
      <c r="D43" s="3">
        <f t="shared" si="4"/>
        <v>5</v>
      </c>
      <c r="E43" s="3">
        <f t="shared" si="4"/>
        <v>1</v>
      </c>
      <c r="F43" s="3">
        <f t="shared" si="4"/>
        <v>3</v>
      </c>
      <c r="G43" s="3">
        <f t="shared" si="4"/>
        <v>2</v>
      </c>
      <c r="H43" s="3">
        <f t="shared" si="4"/>
        <v>6</v>
      </c>
      <c r="I43" s="3">
        <f t="shared" si="4"/>
        <v>4</v>
      </c>
      <c r="J43" s="68"/>
    </row>
    <row r="44" spans="2:21">
      <c r="B44" s="3" t="s">
        <v>104</v>
      </c>
      <c r="C44" s="3" t="str">
        <f t="shared" ref="C44:I44" si="5">B12</f>
        <v>i2</v>
      </c>
      <c r="D44" s="3">
        <f t="shared" si="5"/>
        <v>4</v>
      </c>
      <c r="E44" s="3">
        <f t="shared" si="5"/>
        <v>2</v>
      </c>
      <c r="F44" s="3">
        <f t="shared" si="5"/>
        <v>5</v>
      </c>
      <c r="G44" s="3">
        <f t="shared" si="5"/>
        <v>3</v>
      </c>
      <c r="H44" s="3">
        <f t="shared" si="5"/>
        <v>6</v>
      </c>
      <c r="I44" s="3">
        <f t="shared" si="5"/>
        <v>1</v>
      </c>
      <c r="J44" s="68"/>
    </row>
    <row r="45" spans="2:21">
      <c r="B45" s="3" t="s">
        <v>105</v>
      </c>
      <c r="C45" s="3" t="str">
        <f t="shared" ref="C45:I45" si="6">B20</f>
        <v>i2</v>
      </c>
      <c r="D45" s="3">
        <f t="shared" si="6"/>
        <v>6</v>
      </c>
      <c r="E45" s="3">
        <f t="shared" si="6"/>
        <v>1</v>
      </c>
      <c r="F45" s="3">
        <f t="shared" si="6"/>
        <v>4</v>
      </c>
      <c r="G45" s="3">
        <f t="shared" si="6"/>
        <v>2</v>
      </c>
      <c r="H45" s="3">
        <f t="shared" si="6"/>
        <v>5</v>
      </c>
      <c r="I45" s="3">
        <f t="shared" si="6"/>
        <v>3</v>
      </c>
      <c r="J45" s="68"/>
    </row>
    <row r="46" spans="2:21">
      <c r="B46" s="3" t="s">
        <v>106</v>
      </c>
      <c r="C46" s="3" t="str">
        <f t="shared" ref="C46:I46" si="7">B28</f>
        <v>i2</v>
      </c>
      <c r="D46" s="3">
        <f t="shared" si="7"/>
        <v>6</v>
      </c>
      <c r="E46" s="3">
        <f t="shared" si="7"/>
        <v>1</v>
      </c>
      <c r="F46" s="3">
        <f t="shared" si="7"/>
        <v>3</v>
      </c>
      <c r="G46" s="3">
        <f t="shared" si="7"/>
        <v>5</v>
      </c>
      <c r="H46" s="3">
        <f t="shared" si="7"/>
        <v>2</v>
      </c>
      <c r="I46" s="3">
        <f t="shared" si="7"/>
        <v>4</v>
      </c>
      <c r="J46" s="68"/>
    </row>
    <row r="47" spans="2:21">
      <c r="J47" s="68"/>
      <c r="K47" s="68"/>
    </row>
    <row r="48" spans="2:21">
      <c r="B48" s="3" t="s">
        <v>103</v>
      </c>
      <c r="C48" s="3" t="str">
        <f t="shared" ref="C48:I48" si="8">B5</f>
        <v>i3</v>
      </c>
      <c r="D48" s="3">
        <f t="shared" si="8"/>
        <v>2</v>
      </c>
      <c r="E48" s="3">
        <f t="shared" si="8"/>
        <v>6</v>
      </c>
      <c r="F48" s="3">
        <f t="shared" si="8"/>
        <v>1</v>
      </c>
      <c r="G48" s="3">
        <f t="shared" si="8"/>
        <v>4</v>
      </c>
      <c r="H48" s="3">
        <f t="shared" si="8"/>
        <v>3</v>
      </c>
      <c r="I48" s="3">
        <f t="shared" si="8"/>
        <v>5</v>
      </c>
      <c r="J48" s="68"/>
      <c r="K48" s="68"/>
    </row>
    <row r="49" spans="1:14">
      <c r="A49" s="68"/>
      <c r="B49" s="3" t="s">
        <v>104</v>
      </c>
      <c r="C49" s="3" t="str">
        <f t="shared" ref="C49:I49" si="9">B13</f>
        <v>i3</v>
      </c>
      <c r="D49" s="3">
        <f t="shared" si="9"/>
        <v>6</v>
      </c>
      <c r="E49" s="3">
        <f t="shared" si="9"/>
        <v>1</v>
      </c>
      <c r="F49" s="3">
        <f t="shared" si="9"/>
        <v>3</v>
      </c>
      <c r="G49" s="3">
        <f t="shared" si="9"/>
        <v>5</v>
      </c>
      <c r="H49" s="3">
        <f t="shared" si="9"/>
        <v>4</v>
      </c>
      <c r="I49" s="3">
        <f t="shared" si="9"/>
        <v>2</v>
      </c>
      <c r="J49" s="68"/>
      <c r="K49" s="68"/>
    </row>
    <row r="50" spans="1:14">
      <c r="A50" s="68"/>
      <c r="B50" s="3" t="s">
        <v>105</v>
      </c>
      <c r="C50" s="3" t="str">
        <f t="shared" ref="C50:I50" si="10">B21</f>
        <v>i3</v>
      </c>
      <c r="D50" s="3">
        <f t="shared" si="10"/>
        <v>2</v>
      </c>
      <c r="E50" s="3">
        <f t="shared" si="10"/>
        <v>5</v>
      </c>
      <c r="F50" s="3">
        <f t="shared" si="10"/>
        <v>1</v>
      </c>
      <c r="G50" s="3">
        <f t="shared" si="10"/>
        <v>3</v>
      </c>
      <c r="H50" s="3">
        <f t="shared" si="10"/>
        <v>6</v>
      </c>
      <c r="I50" s="3">
        <f t="shared" si="10"/>
        <v>4</v>
      </c>
      <c r="J50" s="68"/>
      <c r="K50" s="68"/>
    </row>
    <row r="51" spans="1:14">
      <c r="A51" s="68"/>
      <c r="B51" s="3" t="s">
        <v>106</v>
      </c>
      <c r="C51" s="3" t="str">
        <f t="shared" ref="C51:I51" si="11">B29</f>
        <v>i3</v>
      </c>
      <c r="D51" s="3">
        <f t="shared" si="11"/>
        <v>2</v>
      </c>
      <c r="E51" s="3">
        <f t="shared" si="11"/>
        <v>6</v>
      </c>
      <c r="F51" s="3">
        <f t="shared" si="11"/>
        <v>1</v>
      </c>
      <c r="G51" s="3">
        <f t="shared" si="11"/>
        <v>4</v>
      </c>
      <c r="H51" s="3">
        <f t="shared" si="11"/>
        <v>3</v>
      </c>
      <c r="I51" s="3">
        <f t="shared" si="11"/>
        <v>5</v>
      </c>
      <c r="J51" s="68"/>
      <c r="K51" s="68"/>
    </row>
    <row r="53" spans="1:14">
      <c r="B53" s="3" t="s">
        <v>103</v>
      </c>
      <c r="C53" s="3" t="str">
        <f t="shared" ref="C53:I53" si="12">B6</f>
        <v>i4</v>
      </c>
      <c r="D53" s="3">
        <f t="shared" si="12"/>
        <v>3</v>
      </c>
      <c r="E53" s="3">
        <f t="shared" si="12"/>
        <v>5</v>
      </c>
      <c r="F53" s="3">
        <f t="shared" si="12"/>
        <v>2</v>
      </c>
      <c r="G53" s="3">
        <f t="shared" si="12"/>
        <v>6</v>
      </c>
      <c r="H53" s="3">
        <f t="shared" si="12"/>
        <v>4</v>
      </c>
      <c r="I53" s="3">
        <f t="shared" si="12"/>
        <v>1</v>
      </c>
      <c r="J53" s="68"/>
      <c r="K53" s="68"/>
      <c r="L53" s="68"/>
      <c r="M53" s="68"/>
      <c r="N53" s="68"/>
    </row>
    <row r="54" spans="1:14">
      <c r="B54" s="3" t="s">
        <v>104</v>
      </c>
      <c r="C54" s="3" t="str">
        <f t="shared" ref="C54:I54" si="13">B14</f>
        <v>i4</v>
      </c>
      <c r="D54" s="3">
        <f t="shared" si="13"/>
        <v>3</v>
      </c>
      <c r="E54" s="3">
        <f t="shared" si="13"/>
        <v>5</v>
      </c>
      <c r="F54" s="3">
        <f t="shared" si="13"/>
        <v>1</v>
      </c>
      <c r="G54" s="3">
        <f t="shared" si="13"/>
        <v>6</v>
      </c>
      <c r="H54" s="3">
        <f t="shared" si="13"/>
        <v>2</v>
      </c>
      <c r="I54" s="3">
        <f t="shared" si="13"/>
        <v>4</v>
      </c>
      <c r="J54" s="68"/>
      <c r="K54" s="68"/>
      <c r="L54" s="68"/>
      <c r="M54" s="68"/>
      <c r="N54" s="68"/>
    </row>
    <row r="55" spans="1:14">
      <c r="B55" s="3" t="s">
        <v>105</v>
      </c>
      <c r="C55" s="3" t="str">
        <f t="shared" ref="C55:I55" si="14">B22</f>
        <v>i4</v>
      </c>
      <c r="D55" s="3">
        <f t="shared" si="14"/>
        <v>3</v>
      </c>
      <c r="E55" s="3">
        <f t="shared" si="14"/>
        <v>6</v>
      </c>
      <c r="F55" s="3">
        <f t="shared" si="14"/>
        <v>2</v>
      </c>
      <c r="G55" s="3">
        <f t="shared" si="14"/>
        <v>1</v>
      </c>
      <c r="H55" s="3">
        <f t="shared" si="14"/>
        <v>4</v>
      </c>
      <c r="I55" s="3">
        <f t="shared" si="14"/>
        <v>5</v>
      </c>
      <c r="J55" s="68"/>
      <c r="K55" s="68"/>
      <c r="L55" s="68"/>
    </row>
    <row r="56" spans="1:14">
      <c r="B56" s="3" t="s">
        <v>106</v>
      </c>
      <c r="C56" s="3" t="str">
        <f t="shared" ref="C56:I56" si="15">B30</f>
        <v>i4</v>
      </c>
      <c r="D56" s="3">
        <f t="shared" si="15"/>
        <v>3</v>
      </c>
      <c r="E56" s="3">
        <f t="shared" si="15"/>
        <v>5</v>
      </c>
      <c r="F56" s="3">
        <f t="shared" si="15"/>
        <v>2</v>
      </c>
      <c r="G56" s="3">
        <f t="shared" si="15"/>
        <v>6</v>
      </c>
      <c r="H56" s="3">
        <f t="shared" si="15"/>
        <v>4</v>
      </c>
      <c r="I56" s="3">
        <f t="shared" si="15"/>
        <v>1</v>
      </c>
      <c r="J56" s="68"/>
      <c r="K56" s="68"/>
      <c r="L56" s="68"/>
      <c r="M56" s="68"/>
    </row>
    <row r="57" spans="1:14">
      <c r="J57" s="68"/>
      <c r="K57" s="68"/>
      <c r="L57" s="68"/>
      <c r="M57" s="68"/>
    </row>
    <row r="58" spans="1:14">
      <c r="B58" s="3" t="s">
        <v>103</v>
      </c>
      <c r="C58" s="3" t="str">
        <f t="shared" ref="C58:I58" si="16">B7</f>
        <v>i5</v>
      </c>
      <c r="D58" s="3">
        <f t="shared" si="16"/>
        <v>6</v>
      </c>
      <c r="E58" s="3">
        <f t="shared" si="16"/>
        <v>4</v>
      </c>
      <c r="F58" s="3">
        <f t="shared" si="16"/>
        <v>5</v>
      </c>
      <c r="G58" s="3">
        <f t="shared" si="16"/>
        <v>1</v>
      </c>
      <c r="H58" s="3">
        <f t="shared" si="16"/>
        <v>3</v>
      </c>
      <c r="I58" s="3">
        <f t="shared" si="16"/>
        <v>2</v>
      </c>
      <c r="J58" s="68"/>
      <c r="K58" s="68"/>
      <c r="L58" s="68"/>
      <c r="M58" s="68"/>
    </row>
    <row r="59" spans="1:14">
      <c r="B59" s="3" t="s">
        <v>104</v>
      </c>
      <c r="C59" s="3" t="str">
        <f t="shared" ref="C59:I59" si="17">B15</f>
        <v>i5</v>
      </c>
      <c r="D59" s="3">
        <f t="shared" si="17"/>
        <v>2</v>
      </c>
      <c r="E59" s="3">
        <f t="shared" si="17"/>
        <v>4</v>
      </c>
      <c r="F59" s="3">
        <f t="shared" si="17"/>
        <v>6</v>
      </c>
      <c r="G59" s="3">
        <f t="shared" si="17"/>
        <v>1</v>
      </c>
      <c r="H59" s="3">
        <f t="shared" si="17"/>
        <v>3</v>
      </c>
      <c r="I59" s="3">
        <f t="shared" si="17"/>
        <v>5</v>
      </c>
      <c r="J59" s="68"/>
      <c r="K59" s="68"/>
      <c r="L59" s="68"/>
      <c r="M59" s="68"/>
    </row>
    <row r="60" spans="1:14">
      <c r="B60" s="3" t="s">
        <v>105</v>
      </c>
      <c r="C60" s="3" t="str">
        <f t="shared" ref="C60:I60" si="18">B23</f>
        <v>i5</v>
      </c>
      <c r="D60" s="3">
        <f t="shared" si="18"/>
        <v>4</v>
      </c>
      <c r="E60" s="3">
        <f t="shared" si="18"/>
        <v>2</v>
      </c>
      <c r="F60" s="3">
        <f t="shared" si="18"/>
        <v>6</v>
      </c>
      <c r="G60" s="3">
        <f t="shared" si="18"/>
        <v>5</v>
      </c>
      <c r="H60" s="3">
        <f t="shared" si="18"/>
        <v>1</v>
      </c>
      <c r="I60" s="3">
        <f t="shared" si="18"/>
        <v>3</v>
      </c>
      <c r="J60" s="68"/>
    </row>
    <row r="61" spans="1:14">
      <c r="A61" s="68"/>
      <c r="B61" s="3" t="s">
        <v>106</v>
      </c>
      <c r="C61" s="3" t="str">
        <f t="shared" ref="C61:I61" si="19">B31</f>
        <v>i5</v>
      </c>
      <c r="D61" s="3">
        <f t="shared" si="19"/>
        <v>4</v>
      </c>
      <c r="E61" s="3">
        <f t="shared" si="19"/>
        <v>2</v>
      </c>
      <c r="F61" s="3">
        <f t="shared" si="19"/>
        <v>5</v>
      </c>
      <c r="G61" s="3">
        <f t="shared" si="19"/>
        <v>1</v>
      </c>
      <c r="H61" s="3">
        <f t="shared" si="19"/>
        <v>6</v>
      </c>
      <c r="I61" s="3">
        <f t="shared" si="19"/>
        <v>3</v>
      </c>
      <c r="J61" s="68"/>
      <c r="K61" s="68"/>
      <c r="L61" s="68"/>
      <c r="M61" s="68"/>
    </row>
    <row r="63" spans="1:14">
      <c r="B63" s="3" t="s">
        <v>103</v>
      </c>
      <c r="C63" s="3" t="str">
        <f>B8</f>
        <v>i6</v>
      </c>
      <c r="D63" s="3">
        <v>5</v>
      </c>
      <c r="E63" s="3">
        <f>D8</f>
        <v>2</v>
      </c>
      <c r="F63" s="3">
        <f>E8</f>
        <v>4</v>
      </c>
      <c r="G63" s="3">
        <f>F8</f>
        <v>3</v>
      </c>
      <c r="H63" s="3">
        <f>G8</f>
        <v>1</v>
      </c>
      <c r="I63" s="3">
        <f>H8</f>
        <v>6</v>
      </c>
      <c r="J63" s="68"/>
      <c r="K63" s="68"/>
      <c r="L63" s="68"/>
    </row>
    <row r="64" spans="1:14">
      <c r="B64" s="3" t="s">
        <v>104</v>
      </c>
      <c r="C64" s="3" t="str">
        <f t="shared" ref="C64:I64" si="20">B16</f>
        <v>i6</v>
      </c>
      <c r="D64" s="3">
        <f t="shared" si="20"/>
        <v>5</v>
      </c>
      <c r="E64" s="3">
        <f t="shared" si="20"/>
        <v>3</v>
      </c>
      <c r="F64" s="3">
        <f t="shared" si="20"/>
        <v>2</v>
      </c>
      <c r="G64" s="3">
        <f t="shared" si="20"/>
        <v>4</v>
      </c>
      <c r="H64" s="3">
        <f t="shared" si="20"/>
        <v>1</v>
      </c>
      <c r="I64" s="3">
        <f t="shared" si="20"/>
        <v>6</v>
      </c>
      <c r="J64" s="68"/>
      <c r="K64" s="68"/>
    </row>
    <row r="65" spans="2:11">
      <c r="B65" s="3" t="s">
        <v>105</v>
      </c>
      <c r="C65" s="3" t="str">
        <f t="shared" ref="C65:I65" si="21">B24</f>
        <v>i6</v>
      </c>
      <c r="D65" s="3">
        <f t="shared" si="21"/>
        <v>5</v>
      </c>
      <c r="E65" s="3">
        <f t="shared" si="21"/>
        <v>3</v>
      </c>
      <c r="F65" s="3">
        <f t="shared" si="21"/>
        <v>4</v>
      </c>
      <c r="G65" s="3">
        <f t="shared" si="21"/>
        <v>1</v>
      </c>
      <c r="H65" s="3">
        <f t="shared" si="21"/>
        <v>2</v>
      </c>
      <c r="I65" s="3">
        <f t="shared" si="21"/>
        <v>6</v>
      </c>
      <c r="J65" s="68"/>
      <c r="K65" s="68"/>
    </row>
    <row r="66" spans="2:11">
      <c r="B66" s="3" t="s">
        <v>106</v>
      </c>
      <c r="C66" s="3" t="str">
        <f t="shared" ref="C66:I66" si="22">B32</f>
        <v>i6</v>
      </c>
      <c r="D66" s="3">
        <f t="shared" si="22"/>
        <v>5</v>
      </c>
      <c r="E66" s="3">
        <f t="shared" si="22"/>
        <v>3</v>
      </c>
      <c r="F66" s="3">
        <f t="shared" si="22"/>
        <v>4</v>
      </c>
      <c r="G66" s="3">
        <f t="shared" si="22"/>
        <v>2</v>
      </c>
      <c r="H66" s="3">
        <f t="shared" si="22"/>
        <v>1</v>
      </c>
      <c r="I66" s="3">
        <f t="shared" si="22"/>
        <v>6</v>
      </c>
    </row>
    <row r="72" spans="2:11">
      <c r="B72" s="3" t="s">
        <v>940</v>
      </c>
    </row>
    <row r="73" spans="2:11">
      <c r="B73" s="3">
        <v>1</v>
      </c>
      <c r="C73" s="3">
        <v>2</v>
      </c>
      <c r="D73" s="3">
        <v>3</v>
      </c>
      <c r="E73" s="3">
        <v>4</v>
      </c>
      <c r="F73" s="3">
        <v>5</v>
      </c>
      <c r="G73" s="3">
        <v>6</v>
      </c>
      <c r="H73" s="3">
        <v>7</v>
      </c>
      <c r="I73" s="3">
        <v>8</v>
      </c>
    </row>
    <row r="74" spans="2:11">
      <c r="B74" s="3">
        <v>2</v>
      </c>
      <c r="C74" s="3">
        <v>1</v>
      </c>
      <c r="D74" s="3">
        <v>4</v>
      </c>
      <c r="E74" s="3">
        <v>3</v>
      </c>
      <c r="F74" s="3">
        <v>6</v>
      </c>
      <c r="G74" s="3">
        <v>5</v>
      </c>
      <c r="H74" s="3">
        <v>8</v>
      </c>
      <c r="I74" s="3">
        <v>7</v>
      </c>
    </row>
    <row r="75" spans="2:11">
      <c r="B75" s="3">
        <v>3</v>
      </c>
      <c r="C75" s="3">
        <v>4</v>
      </c>
      <c r="D75" s="3">
        <v>1</v>
      </c>
      <c r="E75" s="3">
        <v>2</v>
      </c>
      <c r="F75" s="3">
        <v>7</v>
      </c>
      <c r="G75" s="3">
        <v>8</v>
      </c>
      <c r="H75" s="3">
        <v>5</v>
      </c>
      <c r="I75" s="3">
        <v>6</v>
      </c>
    </row>
    <row r="76" spans="2:11">
      <c r="B76" s="3">
        <v>4</v>
      </c>
      <c r="C76" s="3">
        <v>3</v>
      </c>
      <c r="D76" s="3">
        <v>2</v>
      </c>
      <c r="E76" s="3">
        <v>1</v>
      </c>
      <c r="F76" s="3">
        <v>8</v>
      </c>
      <c r="G76" s="3">
        <v>7</v>
      </c>
      <c r="H76" s="3">
        <v>6</v>
      </c>
      <c r="I76" s="3">
        <v>5</v>
      </c>
    </row>
    <row r="86" spans="2:9">
      <c r="B86" s="3" t="s">
        <v>941</v>
      </c>
    </row>
    <row r="87" spans="2:9">
      <c r="B87" s="3">
        <v>5</v>
      </c>
      <c r="C87" s="3">
        <v>7</v>
      </c>
      <c r="D87" s="3">
        <v>6</v>
      </c>
      <c r="E87" s="3">
        <v>8</v>
      </c>
      <c r="F87" s="3">
        <v>1</v>
      </c>
      <c r="G87" s="3">
        <v>2</v>
      </c>
      <c r="H87" s="3">
        <v>4</v>
      </c>
      <c r="I87" s="3">
        <v>3</v>
      </c>
    </row>
    <row r="88" spans="2:9">
      <c r="B88" s="3">
        <v>7</v>
      </c>
      <c r="C88" s="3">
        <v>5</v>
      </c>
      <c r="D88" s="3">
        <v>8</v>
      </c>
      <c r="E88" s="3">
        <v>6</v>
      </c>
      <c r="F88" s="3">
        <v>2</v>
      </c>
      <c r="G88" s="3">
        <v>1</v>
      </c>
      <c r="H88" s="3">
        <v>3</v>
      </c>
      <c r="I88" s="3">
        <v>4</v>
      </c>
    </row>
    <row r="89" spans="2:9">
      <c r="B89" s="3">
        <v>6</v>
      </c>
      <c r="C89" s="3">
        <v>8</v>
      </c>
      <c r="D89" s="3">
        <v>5</v>
      </c>
      <c r="E89" s="3">
        <v>7</v>
      </c>
      <c r="F89" s="3">
        <v>3</v>
      </c>
      <c r="G89" s="3">
        <v>4</v>
      </c>
      <c r="H89" s="3">
        <v>1</v>
      </c>
      <c r="I89" s="3">
        <v>2</v>
      </c>
    </row>
    <row r="90" spans="2:9">
      <c r="B90" s="3">
        <v>8</v>
      </c>
      <c r="C90" s="3">
        <v>6</v>
      </c>
      <c r="D90" s="3">
        <v>7</v>
      </c>
      <c r="E90" s="3">
        <v>5</v>
      </c>
      <c r="F90" s="3">
        <v>4</v>
      </c>
      <c r="G90" s="3">
        <v>3</v>
      </c>
      <c r="H90" s="3">
        <v>2</v>
      </c>
      <c r="I90" s="3">
        <v>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0053-7666-412A-B29B-C2499DE79C86}">
  <dimension ref="A2:O180"/>
  <sheetViews>
    <sheetView workbookViewId="0">
      <selection activeCell="K54" sqref="K54"/>
    </sheetView>
  </sheetViews>
  <sheetFormatPr defaultRowHeight="14.5"/>
  <cols>
    <col min="2" max="2" width="12.26953125" bestFit="1" customWidth="1"/>
    <col min="3" max="3" width="14.7265625" style="3" bestFit="1" customWidth="1"/>
    <col min="4" max="4" width="18.08984375" bestFit="1" customWidth="1"/>
    <col min="5" max="5" width="18.36328125" bestFit="1" customWidth="1"/>
    <col min="6" max="6" width="17" style="3" bestFit="1" customWidth="1"/>
    <col min="7" max="7" width="15.81640625" bestFit="1" customWidth="1"/>
    <col min="8" max="8" width="18.90625" bestFit="1" customWidth="1"/>
    <col min="9" max="9" width="3.90625" style="3" customWidth="1"/>
    <col min="10" max="10" width="14.26953125" bestFit="1" customWidth="1"/>
    <col min="11" max="11" width="18.08984375" bestFit="1" customWidth="1"/>
  </cols>
  <sheetData>
    <row r="2" spans="2:13">
      <c r="B2" s="61" t="s">
        <v>48</v>
      </c>
      <c r="C2"/>
      <c r="M2" s="3"/>
    </row>
    <row r="3" spans="2:13">
      <c r="B3" t="s">
        <v>246</v>
      </c>
      <c r="C3" t="s">
        <v>248</v>
      </c>
      <c r="M3" s="3"/>
    </row>
    <row r="4" spans="2:13">
      <c r="B4" t="s">
        <v>53</v>
      </c>
      <c r="C4" t="s">
        <v>253</v>
      </c>
      <c r="M4" s="3"/>
    </row>
    <row r="5" spans="2:13">
      <c r="B5" t="s">
        <v>79</v>
      </c>
      <c r="C5" t="s">
        <v>929</v>
      </c>
      <c r="M5" s="3"/>
    </row>
    <row r="6" spans="2:13">
      <c r="B6" t="s">
        <v>67</v>
      </c>
      <c r="C6" t="s">
        <v>258</v>
      </c>
      <c r="M6" s="3"/>
    </row>
    <row r="7" spans="2:13">
      <c r="B7" t="s">
        <v>74</v>
      </c>
      <c r="C7" t="s">
        <v>263</v>
      </c>
      <c r="M7" s="3"/>
    </row>
    <row r="8" spans="2:13">
      <c r="B8" t="s">
        <v>58</v>
      </c>
      <c r="C8" t="s">
        <v>428</v>
      </c>
    </row>
    <row r="9" spans="2:13">
      <c r="B9" t="s">
        <v>95</v>
      </c>
      <c r="C9"/>
    </row>
    <row r="10" spans="2:13">
      <c r="C10"/>
    </row>
    <row r="11" spans="2:13">
      <c r="B11" s="61" t="s">
        <v>49</v>
      </c>
      <c r="C11"/>
    </row>
    <row r="12" spans="2:13">
      <c r="B12" t="s">
        <v>59</v>
      </c>
      <c r="C12" t="s">
        <v>939</v>
      </c>
    </row>
    <row r="13" spans="2:13">
      <c r="B13" t="s">
        <v>54</v>
      </c>
      <c r="C13" t="s">
        <v>445</v>
      </c>
    </row>
    <row r="14" spans="2:13">
      <c r="B14" t="s">
        <v>81</v>
      </c>
      <c r="C14" t="s">
        <v>938</v>
      </c>
    </row>
    <row r="15" spans="2:13">
      <c r="B15" t="s">
        <v>80</v>
      </c>
      <c r="C15" t="s">
        <v>887</v>
      </c>
    </row>
    <row r="16" spans="2:13">
      <c r="B16" t="s">
        <v>76</v>
      </c>
      <c r="C16" t="s">
        <v>932</v>
      </c>
    </row>
    <row r="17" spans="2:3">
      <c r="B17" t="s">
        <v>63</v>
      </c>
      <c r="C17" t="s">
        <v>933</v>
      </c>
    </row>
    <row r="18" spans="2:3">
      <c r="B18" t="s">
        <v>97</v>
      </c>
      <c r="C18"/>
    </row>
    <row r="19" spans="2:3">
      <c r="C19"/>
    </row>
    <row r="20" spans="2:3">
      <c r="B20" s="61" t="s">
        <v>50</v>
      </c>
      <c r="C20"/>
    </row>
    <row r="21" spans="2:3">
      <c r="B21" t="s">
        <v>61</v>
      </c>
      <c r="C21" t="s">
        <v>507</v>
      </c>
    </row>
    <row r="22" spans="2:3">
      <c r="B22" t="s">
        <v>55</v>
      </c>
      <c r="C22" t="s">
        <v>597</v>
      </c>
    </row>
    <row r="23" spans="2:3">
      <c r="B23" t="s">
        <v>121</v>
      </c>
      <c r="C23" t="s">
        <v>934</v>
      </c>
    </row>
    <row r="24" spans="2:3">
      <c r="B24" t="s">
        <v>62</v>
      </c>
      <c r="C24" t="s">
        <v>935</v>
      </c>
    </row>
    <row r="25" spans="2:3">
      <c r="B25" t="s">
        <v>77</v>
      </c>
      <c r="C25" t="s">
        <v>936</v>
      </c>
    </row>
    <row r="26" spans="2:3">
      <c r="B26" t="s">
        <v>66</v>
      </c>
      <c r="C26" t="s">
        <v>937</v>
      </c>
    </row>
    <row r="27" spans="2:3">
      <c r="B27" t="s">
        <v>94</v>
      </c>
      <c r="C27"/>
    </row>
    <row r="28" spans="2:3">
      <c r="C28"/>
    </row>
    <row r="29" spans="2:3">
      <c r="B29" s="61" t="s">
        <v>51</v>
      </c>
      <c r="C29"/>
    </row>
    <row r="30" spans="2:3">
      <c r="B30" t="s">
        <v>60</v>
      </c>
      <c r="C30" t="s">
        <v>273</v>
      </c>
    </row>
    <row r="31" spans="2:3">
      <c r="B31" t="s">
        <v>68</v>
      </c>
      <c r="C31" t="s">
        <v>56</v>
      </c>
    </row>
    <row r="32" spans="2:3">
      <c r="B32" t="s">
        <v>65</v>
      </c>
      <c r="C32" t="s">
        <v>931</v>
      </c>
    </row>
    <row r="33" spans="1:15">
      <c r="B33" t="s">
        <v>57</v>
      </c>
      <c r="C33" t="s">
        <v>930</v>
      </c>
    </row>
    <row r="34" spans="1:15">
      <c r="B34" t="s">
        <v>78</v>
      </c>
      <c r="C34" t="s">
        <v>768</v>
      </c>
    </row>
    <row r="35" spans="1:15">
      <c r="B35" t="s">
        <v>82</v>
      </c>
      <c r="C35" t="s">
        <v>874</v>
      </c>
    </row>
    <row r="36" spans="1:15">
      <c r="B36" t="s">
        <v>266</v>
      </c>
    </row>
    <row r="41" spans="1:15">
      <c r="A41" s="3"/>
      <c r="B41" s="3"/>
      <c r="C41" s="3" t="s">
        <v>86</v>
      </c>
      <c r="D41" s="3" t="s">
        <v>87</v>
      </c>
      <c r="E41" s="3" t="s">
        <v>88</v>
      </c>
      <c r="F41" s="3" t="s">
        <v>89</v>
      </c>
      <c r="G41" s="3" t="s">
        <v>90</v>
      </c>
      <c r="H41" s="3" t="s">
        <v>91</v>
      </c>
    </row>
    <row r="42" spans="1:15">
      <c r="A42" s="3" t="s">
        <v>103</v>
      </c>
      <c r="B42" s="3">
        <v>1.1000000000000001</v>
      </c>
      <c r="C42" s="3" t="s">
        <v>990</v>
      </c>
      <c r="D42" s="3" t="s">
        <v>679</v>
      </c>
      <c r="E42" s="3" t="s">
        <v>1002</v>
      </c>
      <c r="F42" s="3" t="s">
        <v>1003</v>
      </c>
      <c r="G42" s="3" t="s">
        <v>74</v>
      </c>
      <c r="H42" s="3" t="s">
        <v>58</v>
      </c>
    </row>
    <row r="43" spans="1:15">
      <c r="A43" s="3"/>
      <c r="B43" s="3">
        <v>1.2</v>
      </c>
      <c r="C43" s="3" t="s">
        <v>248</v>
      </c>
      <c r="D43" s="3" t="s">
        <v>253</v>
      </c>
      <c r="E43" s="3" t="s">
        <v>255</v>
      </c>
      <c r="F43" s="3" t="s">
        <v>258</v>
      </c>
      <c r="G43" s="3" t="s">
        <v>263</v>
      </c>
      <c r="H43" s="3" t="s">
        <v>269</v>
      </c>
      <c r="O43" s="3"/>
    </row>
    <row r="44" spans="1:15">
      <c r="A44" s="3"/>
      <c r="B44" s="3">
        <v>2.2999999999999998</v>
      </c>
      <c r="C44" s="3" t="s">
        <v>991</v>
      </c>
      <c r="D44" s="3" t="s">
        <v>712</v>
      </c>
      <c r="E44" s="3" t="s">
        <v>1029</v>
      </c>
      <c r="F44" s="3" t="s">
        <v>289</v>
      </c>
      <c r="G44" s="3" t="s">
        <v>1059</v>
      </c>
      <c r="H44" s="3" t="s">
        <v>297</v>
      </c>
      <c r="O44" s="3"/>
    </row>
    <row r="45" spans="1:15">
      <c r="A45" s="3"/>
      <c r="B45" s="3">
        <v>2.4</v>
      </c>
      <c r="C45" s="3" t="s">
        <v>992</v>
      </c>
      <c r="D45" s="3" t="s">
        <v>884</v>
      </c>
      <c r="E45" s="3" t="s">
        <v>287</v>
      </c>
      <c r="F45" s="3" t="s">
        <v>1048</v>
      </c>
      <c r="G45" s="3" t="s">
        <v>293</v>
      </c>
      <c r="H45" s="3" t="s">
        <v>301</v>
      </c>
      <c r="O45" s="3"/>
    </row>
    <row r="46" spans="1:15">
      <c r="A46" s="3"/>
      <c r="B46" s="3">
        <v>3.5</v>
      </c>
      <c r="C46" s="3" t="s">
        <v>302</v>
      </c>
      <c r="D46" s="3" t="s">
        <v>1017</v>
      </c>
      <c r="E46" s="3" t="s">
        <v>1034</v>
      </c>
      <c r="F46" s="3" t="s">
        <v>1051</v>
      </c>
      <c r="G46" s="3" t="s">
        <v>1063</v>
      </c>
      <c r="H46" s="3" t="s">
        <v>318</v>
      </c>
      <c r="O46" s="3"/>
    </row>
    <row r="47" spans="1:15">
      <c r="A47" s="3"/>
      <c r="B47" s="3">
        <v>3.6</v>
      </c>
      <c r="C47" s="3" t="s">
        <v>993</v>
      </c>
      <c r="D47" s="3" t="s">
        <v>1018</v>
      </c>
      <c r="E47" s="3" t="s">
        <v>1037</v>
      </c>
      <c r="F47" s="3" t="s">
        <v>1054</v>
      </c>
      <c r="G47" s="3" t="s">
        <v>1064</v>
      </c>
      <c r="H47" s="3" t="s">
        <v>1079</v>
      </c>
      <c r="O47" s="3"/>
    </row>
    <row r="48" spans="1:15">
      <c r="A48" s="3"/>
      <c r="B48" s="3">
        <v>4.7</v>
      </c>
      <c r="C48" s="3" t="s">
        <v>750</v>
      </c>
      <c r="D48" s="3" t="s">
        <v>593</v>
      </c>
      <c r="E48" s="3" t="s">
        <v>1039</v>
      </c>
      <c r="F48" s="3" t="s">
        <v>866</v>
      </c>
      <c r="G48" s="3" t="s">
        <v>423</v>
      </c>
      <c r="H48" s="3" t="s">
        <v>650</v>
      </c>
      <c r="O48" s="3"/>
    </row>
    <row r="49" spans="1:15">
      <c r="A49" s="3"/>
      <c r="B49" s="3">
        <v>4.8</v>
      </c>
      <c r="C49" s="3" t="s">
        <v>581</v>
      </c>
      <c r="D49" s="3" t="s">
        <v>1023</v>
      </c>
      <c r="E49" s="3" t="s">
        <v>617</v>
      </c>
      <c r="F49" s="3" t="s">
        <v>1056</v>
      </c>
      <c r="G49" s="3" t="s">
        <v>872</v>
      </c>
      <c r="H49" s="3" t="s">
        <v>1082</v>
      </c>
      <c r="O49" s="3"/>
    </row>
    <row r="50" spans="1:15">
      <c r="A50" s="3"/>
      <c r="B50" s="3"/>
      <c r="D50" s="3"/>
      <c r="E50" s="3"/>
      <c r="G50" s="3"/>
      <c r="O50" s="3"/>
    </row>
    <row r="51" spans="1:15">
      <c r="A51" s="3" t="s">
        <v>104</v>
      </c>
      <c r="B51" s="3">
        <v>1.7000000000000002</v>
      </c>
      <c r="C51" s="3" t="s">
        <v>247</v>
      </c>
      <c r="D51" s="3" t="s">
        <v>1009</v>
      </c>
      <c r="E51" s="3" t="s">
        <v>256</v>
      </c>
      <c r="F51" s="3" t="s">
        <v>259</v>
      </c>
      <c r="G51" s="3" t="s">
        <v>1060</v>
      </c>
      <c r="H51" s="3" t="s">
        <v>1072</v>
      </c>
      <c r="O51" s="3"/>
    </row>
    <row r="52" spans="1:15">
      <c r="A52" s="3"/>
      <c r="B52" s="3">
        <v>1.8</v>
      </c>
      <c r="C52" s="3" t="s">
        <v>250</v>
      </c>
      <c r="D52" s="3" t="s">
        <v>1011</v>
      </c>
      <c r="E52" s="3" t="s">
        <v>1027</v>
      </c>
      <c r="F52" s="3" t="s">
        <v>1044</v>
      </c>
      <c r="G52" s="3" t="s">
        <v>803</v>
      </c>
      <c r="H52" s="3" t="s">
        <v>1076</v>
      </c>
      <c r="O52" s="3"/>
    </row>
    <row r="53" spans="1:15">
      <c r="A53" s="3"/>
      <c r="B53" s="3">
        <v>2.1</v>
      </c>
      <c r="C53" s="3" t="s">
        <v>59</v>
      </c>
      <c r="D53" s="3" t="s">
        <v>1004</v>
      </c>
      <c r="E53" s="3" t="s">
        <v>81</v>
      </c>
      <c r="F53" s="3" t="s">
        <v>80</v>
      </c>
      <c r="G53" s="3" t="s">
        <v>76</v>
      </c>
      <c r="H53" s="3" t="s">
        <v>1006</v>
      </c>
      <c r="O53" s="3"/>
    </row>
    <row r="54" spans="1:15">
      <c r="A54" s="3"/>
      <c r="B54" s="3">
        <v>2.2000000000000002</v>
      </c>
      <c r="C54" s="3" t="s">
        <v>987</v>
      </c>
      <c r="D54" s="3" t="s">
        <v>445</v>
      </c>
      <c r="E54" s="3" t="s">
        <v>1005</v>
      </c>
      <c r="F54" s="3" t="s">
        <v>887</v>
      </c>
      <c r="G54" s="3" t="s">
        <v>889</v>
      </c>
      <c r="H54" s="3" t="s">
        <v>1007</v>
      </c>
      <c r="O54" s="3"/>
    </row>
    <row r="55" spans="1:15">
      <c r="A55" s="3"/>
      <c r="B55" s="3">
        <v>3.3</v>
      </c>
      <c r="C55" s="3" t="s">
        <v>303</v>
      </c>
      <c r="D55" s="3" t="s">
        <v>362</v>
      </c>
      <c r="E55" s="3" t="s">
        <v>1035</v>
      </c>
      <c r="F55" s="3" t="s">
        <v>1052</v>
      </c>
      <c r="G55" s="3" t="s">
        <v>1065</v>
      </c>
      <c r="H55" s="3" t="s">
        <v>681</v>
      </c>
      <c r="O55" s="3"/>
    </row>
    <row r="56" spans="1:15">
      <c r="A56" s="3"/>
      <c r="B56" s="3">
        <v>3.4</v>
      </c>
      <c r="C56" s="3" t="s">
        <v>994</v>
      </c>
      <c r="D56" s="3" t="s">
        <v>1019</v>
      </c>
      <c r="E56" s="3" t="s">
        <v>682</v>
      </c>
      <c r="F56" s="3" t="s">
        <v>313</v>
      </c>
      <c r="G56" s="3" t="s">
        <v>1066</v>
      </c>
      <c r="H56" s="3" t="s">
        <v>777</v>
      </c>
      <c r="O56" s="3"/>
    </row>
    <row r="57" spans="1:15">
      <c r="A57" s="3"/>
      <c r="B57" s="3">
        <v>4.5</v>
      </c>
      <c r="C57" s="3" t="s">
        <v>275</v>
      </c>
      <c r="D57" s="3" t="s">
        <v>1021</v>
      </c>
      <c r="E57" s="3" t="s">
        <v>652</v>
      </c>
      <c r="F57" s="3" t="s">
        <v>684</v>
      </c>
      <c r="G57" s="3" t="s">
        <v>1069</v>
      </c>
      <c r="H57" s="3" t="s">
        <v>655</v>
      </c>
      <c r="O57" s="3"/>
    </row>
    <row r="58" spans="1:15">
      <c r="A58" s="3"/>
      <c r="B58" s="3">
        <v>4.5999999999999996</v>
      </c>
      <c r="C58" s="3" t="s">
        <v>709</v>
      </c>
      <c r="D58" s="3" t="s">
        <v>860</v>
      </c>
      <c r="E58" s="3" t="s">
        <v>1041</v>
      </c>
      <c r="F58" s="3" t="s">
        <v>1058</v>
      </c>
      <c r="G58" s="3" t="s">
        <v>1070</v>
      </c>
      <c r="H58" s="3" t="s">
        <v>1085</v>
      </c>
      <c r="O58" s="3"/>
    </row>
    <row r="59" spans="1:15">
      <c r="A59" s="3"/>
      <c r="B59" s="3"/>
      <c r="D59" s="3"/>
      <c r="E59" s="3"/>
      <c r="G59" s="3"/>
      <c r="O59" s="3"/>
    </row>
    <row r="60" spans="1:15">
      <c r="A60" s="3" t="s">
        <v>105</v>
      </c>
      <c r="B60" s="3">
        <v>1.5</v>
      </c>
      <c r="C60" s="3" t="s">
        <v>370</v>
      </c>
      <c r="D60" s="3" t="s">
        <v>1010</v>
      </c>
      <c r="E60" s="3" t="s">
        <v>1025</v>
      </c>
      <c r="F60" s="3" t="s">
        <v>260</v>
      </c>
      <c r="G60" s="3" t="s">
        <v>1061</v>
      </c>
      <c r="H60" s="3" t="s">
        <v>1073</v>
      </c>
      <c r="O60" s="3"/>
    </row>
    <row r="61" spans="1:15">
      <c r="A61" s="3"/>
      <c r="B61" s="3">
        <v>1.6</v>
      </c>
      <c r="C61" s="3" t="s">
        <v>371</v>
      </c>
      <c r="D61" s="3" t="s">
        <v>1012</v>
      </c>
      <c r="E61" s="3" t="s">
        <v>1028</v>
      </c>
      <c r="F61" s="3" t="s">
        <v>1045</v>
      </c>
      <c r="G61" s="3" t="s">
        <v>883</v>
      </c>
      <c r="H61" s="3" t="s">
        <v>1075</v>
      </c>
      <c r="O61" s="3"/>
    </row>
    <row r="62" spans="1:15">
      <c r="A62" s="3"/>
      <c r="B62" s="3">
        <v>2.7</v>
      </c>
      <c r="C62" s="3" t="s">
        <v>272</v>
      </c>
      <c r="D62" s="3" t="s">
        <v>714</v>
      </c>
      <c r="E62" s="3" t="s">
        <v>1030</v>
      </c>
      <c r="F62" s="3" t="s">
        <v>469</v>
      </c>
      <c r="G62" s="3" t="s">
        <v>890</v>
      </c>
      <c r="H62" s="3" t="s">
        <v>314</v>
      </c>
      <c r="O62" s="3"/>
    </row>
    <row r="63" spans="1:15">
      <c r="A63" s="3"/>
      <c r="B63" s="3">
        <v>2.8</v>
      </c>
      <c r="C63" s="3" t="s">
        <v>995</v>
      </c>
      <c r="D63" s="3" t="s">
        <v>1014</v>
      </c>
      <c r="E63" s="3" t="s">
        <v>1032</v>
      </c>
      <c r="F63" s="3" t="s">
        <v>1049</v>
      </c>
      <c r="G63" s="3" t="s">
        <v>294</v>
      </c>
      <c r="H63" s="3" t="s">
        <v>1078</v>
      </c>
      <c r="O63" s="3"/>
    </row>
    <row r="64" spans="1:15">
      <c r="A64" s="3"/>
      <c r="B64" s="3">
        <v>3.1</v>
      </c>
      <c r="C64" s="3" t="s">
        <v>988</v>
      </c>
      <c r="D64" s="3" t="s">
        <v>361</v>
      </c>
      <c r="E64" s="3" t="s">
        <v>1024</v>
      </c>
      <c r="F64" s="3" t="s">
        <v>62</v>
      </c>
      <c r="G64" s="3" t="s">
        <v>77</v>
      </c>
      <c r="H64" s="3" t="s">
        <v>66</v>
      </c>
      <c r="O64" s="3"/>
    </row>
    <row r="65" spans="1:15">
      <c r="A65" s="3"/>
      <c r="B65" s="3">
        <v>3.2</v>
      </c>
      <c r="C65" s="3" t="s">
        <v>989</v>
      </c>
      <c r="D65" s="3" t="s">
        <v>597</v>
      </c>
      <c r="E65" s="3" t="s">
        <v>1008</v>
      </c>
      <c r="F65" s="3" t="s">
        <v>935</v>
      </c>
      <c r="G65" s="3" t="s">
        <v>936</v>
      </c>
      <c r="H65" s="3" t="s">
        <v>855</v>
      </c>
      <c r="O65" s="3"/>
    </row>
    <row r="66" spans="1:15">
      <c r="A66" s="3"/>
      <c r="B66" s="3">
        <v>4.3</v>
      </c>
      <c r="C66" s="3" t="s">
        <v>996</v>
      </c>
      <c r="D66" s="3" t="s">
        <v>1020</v>
      </c>
      <c r="E66" s="3" t="s">
        <v>1040</v>
      </c>
      <c r="F66" s="3" t="s">
        <v>869</v>
      </c>
      <c r="G66" s="3" t="s">
        <v>1071</v>
      </c>
      <c r="H66" s="3" t="s">
        <v>1084</v>
      </c>
      <c r="O66" s="3"/>
    </row>
    <row r="67" spans="1:15">
      <c r="A67" s="3"/>
      <c r="B67" s="3">
        <v>4.4000000000000004</v>
      </c>
      <c r="C67" s="3" t="s">
        <v>997</v>
      </c>
      <c r="D67" s="3" t="s">
        <v>1022</v>
      </c>
      <c r="E67" s="3" t="s">
        <v>1042</v>
      </c>
      <c r="F67" s="3" t="s">
        <v>1057</v>
      </c>
      <c r="G67" s="3" t="s">
        <v>354</v>
      </c>
      <c r="H67" s="3" t="s">
        <v>1083</v>
      </c>
      <c r="O67" s="3"/>
    </row>
    <row r="68" spans="1:15">
      <c r="A68" s="3"/>
      <c r="B68" s="3"/>
      <c r="D68" s="3"/>
      <c r="E68" s="3"/>
      <c r="G68" s="3"/>
      <c r="O68" s="3"/>
    </row>
    <row r="69" spans="1:15">
      <c r="A69" s="3" t="s">
        <v>106</v>
      </c>
      <c r="B69" s="3">
        <v>1.3</v>
      </c>
      <c r="C69" s="3" t="s">
        <v>812</v>
      </c>
      <c r="D69" s="3" t="s">
        <v>691</v>
      </c>
      <c r="E69" s="3" t="s">
        <v>1026</v>
      </c>
      <c r="F69" s="3" t="s">
        <v>1043</v>
      </c>
      <c r="G69" s="3" t="s">
        <v>265</v>
      </c>
      <c r="H69" s="3" t="s">
        <v>1074</v>
      </c>
      <c r="O69" s="3"/>
    </row>
    <row r="70" spans="1:15">
      <c r="A70" s="3"/>
      <c r="B70" s="3">
        <v>1.4</v>
      </c>
      <c r="C70" s="3" t="s">
        <v>998</v>
      </c>
      <c r="D70" s="3" t="s">
        <v>1013</v>
      </c>
      <c r="E70" s="3" t="s">
        <v>791</v>
      </c>
      <c r="F70" s="3" t="s">
        <v>1046</v>
      </c>
      <c r="G70" s="3" t="s">
        <v>264</v>
      </c>
      <c r="H70" s="3" t="s">
        <v>1077</v>
      </c>
      <c r="O70" s="3"/>
    </row>
    <row r="71" spans="1:15">
      <c r="A71" s="3"/>
      <c r="B71" s="3">
        <v>2.5</v>
      </c>
      <c r="C71" s="3" t="s">
        <v>999</v>
      </c>
      <c r="D71" s="3" t="s">
        <v>1015</v>
      </c>
      <c r="E71" s="3" t="s">
        <v>1031</v>
      </c>
      <c r="F71" s="3" t="s">
        <v>1047</v>
      </c>
      <c r="G71" s="3" t="s">
        <v>356</v>
      </c>
      <c r="H71" s="3" t="s">
        <v>300</v>
      </c>
      <c r="O71" s="3"/>
    </row>
    <row r="72" spans="1:15">
      <c r="A72" s="3"/>
      <c r="B72" s="3">
        <v>2.6</v>
      </c>
      <c r="C72" s="3" t="s">
        <v>1000</v>
      </c>
      <c r="D72" s="3" t="s">
        <v>278</v>
      </c>
      <c r="E72" s="3" t="s">
        <v>1033</v>
      </c>
      <c r="F72" s="3" t="s">
        <v>1050</v>
      </c>
      <c r="G72" s="3" t="s">
        <v>1062</v>
      </c>
      <c r="H72" s="3" t="s">
        <v>487</v>
      </c>
      <c r="O72" s="3"/>
    </row>
    <row r="73" spans="1:15">
      <c r="A73" s="3"/>
      <c r="B73" s="3">
        <v>3.7</v>
      </c>
      <c r="C73" s="3" t="s">
        <v>686</v>
      </c>
      <c r="D73" s="3" t="s">
        <v>885</v>
      </c>
      <c r="E73" s="3" t="s">
        <v>1036</v>
      </c>
      <c r="F73" s="3" t="s">
        <v>1053</v>
      </c>
      <c r="G73" s="3" t="s">
        <v>1067</v>
      </c>
      <c r="H73" s="3" t="s">
        <v>1080</v>
      </c>
      <c r="O73" s="3"/>
    </row>
    <row r="74" spans="1:15">
      <c r="A74" s="3"/>
      <c r="B74" s="3">
        <v>3.8</v>
      </c>
      <c r="C74" s="3" t="s">
        <v>1001</v>
      </c>
      <c r="D74" s="3" t="s">
        <v>1016</v>
      </c>
      <c r="E74" s="3" t="s">
        <v>1038</v>
      </c>
      <c r="F74" s="3" t="s">
        <v>309</v>
      </c>
      <c r="G74" s="3" t="s">
        <v>1068</v>
      </c>
      <c r="H74" s="3" t="s">
        <v>1081</v>
      </c>
      <c r="O74" s="3"/>
    </row>
    <row r="75" spans="1:15">
      <c r="A75" s="3"/>
      <c r="B75" s="3">
        <v>4.0999999999999996</v>
      </c>
      <c r="C75" s="3" t="s">
        <v>60</v>
      </c>
      <c r="D75" s="3" t="s">
        <v>68</v>
      </c>
      <c r="E75" s="3" t="s">
        <v>65</v>
      </c>
      <c r="F75" s="3" t="s">
        <v>57</v>
      </c>
      <c r="G75" s="3" t="s">
        <v>634</v>
      </c>
      <c r="H75" s="3" t="s">
        <v>82</v>
      </c>
      <c r="O75" s="3"/>
    </row>
    <row r="76" spans="1:15">
      <c r="A76" s="3"/>
      <c r="B76" s="3">
        <v>4.2</v>
      </c>
      <c r="C76" s="3" t="s">
        <v>273</v>
      </c>
      <c r="D76" s="3" t="s">
        <v>56</v>
      </c>
      <c r="E76" s="3" t="s">
        <v>931</v>
      </c>
      <c r="F76" s="3" t="s">
        <v>1055</v>
      </c>
      <c r="G76" s="3" t="s">
        <v>768</v>
      </c>
      <c r="H76" s="3" t="s">
        <v>874</v>
      </c>
      <c r="O76" s="3"/>
    </row>
    <row r="77" spans="1:15">
      <c r="B77" s="3"/>
      <c r="C77"/>
      <c r="F77"/>
      <c r="O77" s="3"/>
    </row>
    <row r="78" spans="1:15">
      <c r="B78" s="3"/>
      <c r="C78" s="3">
        <v>7</v>
      </c>
      <c r="D78" s="3">
        <v>2</v>
      </c>
      <c r="E78" s="3">
        <v>6</v>
      </c>
      <c r="F78" s="3">
        <v>3</v>
      </c>
      <c r="G78" s="3">
        <v>8</v>
      </c>
      <c r="H78" s="3">
        <v>4</v>
      </c>
    </row>
    <row r="79" spans="1:15">
      <c r="C79" s="3">
        <v>1</v>
      </c>
      <c r="D79" s="3">
        <v>5</v>
      </c>
      <c r="E79" s="3">
        <v>4</v>
      </c>
      <c r="F79" s="3">
        <v>7</v>
      </c>
      <c r="G79" s="3">
        <v>1</v>
      </c>
      <c r="H79" s="3">
        <v>6</v>
      </c>
    </row>
    <row r="80" spans="1:15">
      <c r="A80" s="3"/>
      <c r="B80" s="3"/>
      <c r="C80" s="3">
        <v>3</v>
      </c>
      <c r="D80" s="3">
        <v>1</v>
      </c>
      <c r="E80" s="3">
        <v>7</v>
      </c>
      <c r="F80" s="3">
        <v>8</v>
      </c>
      <c r="G80" s="3">
        <v>4</v>
      </c>
      <c r="H80" s="3">
        <v>8</v>
      </c>
    </row>
    <row r="81" spans="1:8">
      <c r="A81" s="3"/>
      <c r="B81" s="3"/>
      <c r="C81" s="3">
        <v>5</v>
      </c>
      <c r="D81" s="3">
        <v>6</v>
      </c>
      <c r="E81" s="3">
        <v>1</v>
      </c>
      <c r="F81" s="3">
        <v>6</v>
      </c>
      <c r="G81" s="3">
        <v>7</v>
      </c>
      <c r="H81" s="3">
        <v>5</v>
      </c>
    </row>
    <row r="82" spans="1:8">
      <c r="A82" s="3"/>
      <c r="B82" s="3"/>
      <c r="C82" s="3">
        <v>8</v>
      </c>
      <c r="D82" s="3">
        <v>4</v>
      </c>
      <c r="E82" s="3">
        <v>5</v>
      </c>
      <c r="F82" s="3">
        <v>2</v>
      </c>
      <c r="G82" s="3">
        <v>6</v>
      </c>
      <c r="H82" s="3">
        <v>1</v>
      </c>
    </row>
    <row r="83" spans="1:8">
      <c r="A83" s="3"/>
      <c r="B83" s="3"/>
      <c r="C83" s="3">
        <v>6</v>
      </c>
      <c r="D83" s="3">
        <v>7</v>
      </c>
      <c r="E83" s="3">
        <v>8</v>
      </c>
      <c r="F83" s="3">
        <v>1</v>
      </c>
      <c r="G83" s="3">
        <v>3</v>
      </c>
      <c r="H83" s="3">
        <v>2</v>
      </c>
    </row>
    <row r="84" spans="1:8">
      <c r="A84" s="3"/>
      <c r="B84" s="3"/>
      <c r="C84" s="3">
        <v>4</v>
      </c>
      <c r="D84" s="3">
        <v>8</v>
      </c>
      <c r="E84" s="3">
        <v>3</v>
      </c>
      <c r="F84" s="3">
        <v>4</v>
      </c>
      <c r="G84" s="3">
        <v>5</v>
      </c>
      <c r="H84" s="3">
        <v>7</v>
      </c>
    </row>
    <row r="85" spans="1:8">
      <c r="A85" s="3"/>
      <c r="B85" s="3"/>
      <c r="C85" s="3">
        <v>2</v>
      </c>
      <c r="D85" s="3">
        <v>3</v>
      </c>
      <c r="E85" s="3">
        <v>2</v>
      </c>
      <c r="F85" s="3">
        <v>5</v>
      </c>
      <c r="G85" s="3">
        <v>2</v>
      </c>
      <c r="H85" s="3">
        <v>3</v>
      </c>
    </row>
    <row r="86" spans="1:8">
      <c r="A86" s="3"/>
      <c r="B86" s="3"/>
      <c r="D86" s="3"/>
      <c r="E86" s="3"/>
      <c r="G86" s="3"/>
      <c r="H86" s="3"/>
    </row>
    <row r="87" spans="1:8">
      <c r="A87" s="3"/>
      <c r="B87" s="3"/>
      <c r="C87" s="3">
        <v>2</v>
      </c>
      <c r="D87" s="3">
        <v>3</v>
      </c>
      <c r="E87" s="3">
        <v>8</v>
      </c>
      <c r="F87" s="3">
        <v>5</v>
      </c>
      <c r="G87" s="3">
        <v>2</v>
      </c>
      <c r="H87" s="3">
        <v>6</v>
      </c>
    </row>
    <row r="88" spans="1:8">
      <c r="A88" s="3"/>
      <c r="B88" s="3"/>
      <c r="C88" s="3">
        <v>1</v>
      </c>
      <c r="D88" s="3">
        <v>5</v>
      </c>
      <c r="E88" s="3">
        <v>2</v>
      </c>
      <c r="F88" s="3">
        <v>8</v>
      </c>
      <c r="G88" s="3">
        <v>7</v>
      </c>
      <c r="H88" s="3">
        <v>4</v>
      </c>
    </row>
    <row r="89" spans="1:8">
      <c r="A89" s="3"/>
      <c r="B89" s="3"/>
      <c r="C89" s="3">
        <v>5</v>
      </c>
      <c r="D89" s="3">
        <v>7</v>
      </c>
      <c r="E89" s="3">
        <v>7</v>
      </c>
      <c r="F89" s="3">
        <v>6</v>
      </c>
      <c r="G89" s="3">
        <v>6</v>
      </c>
      <c r="H89" s="3">
        <v>1</v>
      </c>
    </row>
    <row r="90" spans="1:8">
      <c r="A90" s="3"/>
      <c r="B90" s="3"/>
      <c r="C90" s="3">
        <v>7</v>
      </c>
      <c r="D90" s="3">
        <v>6</v>
      </c>
      <c r="E90" s="3">
        <v>1</v>
      </c>
      <c r="F90" s="3">
        <v>1</v>
      </c>
      <c r="G90" s="3">
        <v>8</v>
      </c>
      <c r="H90" s="3">
        <v>2</v>
      </c>
    </row>
    <row r="91" spans="1:8">
      <c r="A91" s="3"/>
      <c r="B91" s="3"/>
      <c r="C91" s="3">
        <v>8</v>
      </c>
      <c r="D91" s="3">
        <v>8</v>
      </c>
      <c r="E91" s="3">
        <v>3</v>
      </c>
      <c r="F91" s="3">
        <v>7</v>
      </c>
      <c r="G91" s="3">
        <v>4</v>
      </c>
      <c r="H91" s="3">
        <v>5</v>
      </c>
    </row>
    <row r="92" spans="1:8">
      <c r="A92" s="3"/>
      <c r="B92" s="3"/>
      <c r="C92" s="3">
        <v>3</v>
      </c>
      <c r="D92" s="3">
        <v>1</v>
      </c>
      <c r="E92" s="3">
        <v>5</v>
      </c>
      <c r="F92" s="3">
        <v>4</v>
      </c>
      <c r="G92" s="3">
        <v>5</v>
      </c>
      <c r="H92" s="3">
        <v>8</v>
      </c>
    </row>
    <row r="93" spans="1:8">
      <c r="A93" s="3"/>
      <c r="B93" s="3"/>
      <c r="C93" s="3">
        <v>6</v>
      </c>
      <c r="D93" s="3">
        <v>2</v>
      </c>
      <c r="E93" s="3">
        <v>4</v>
      </c>
      <c r="F93" s="3">
        <v>2</v>
      </c>
      <c r="G93" s="3">
        <v>1</v>
      </c>
      <c r="H93" s="3">
        <v>7</v>
      </c>
    </row>
    <row r="94" spans="1:8">
      <c r="A94" s="3"/>
      <c r="B94" s="3"/>
      <c r="C94" s="3">
        <v>4</v>
      </c>
      <c r="D94" s="3">
        <v>4</v>
      </c>
      <c r="E94" s="3">
        <v>6</v>
      </c>
      <c r="F94" s="3">
        <v>3</v>
      </c>
      <c r="G94" s="3">
        <v>3</v>
      </c>
      <c r="H94" s="3">
        <v>3</v>
      </c>
    </row>
    <row r="95" spans="1:8">
      <c r="A95" s="3"/>
      <c r="B95" s="3"/>
      <c r="D95" s="3"/>
      <c r="E95" s="3"/>
      <c r="G95" s="3"/>
      <c r="H95" s="3"/>
    </row>
    <row r="96" spans="1:8">
      <c r="A96" s="3"/>
      <c r="B96" s="3"/>
      <c r="C96" s="3">
        <v>3</v>
      </c>
      <c r="D96" s="3">
        <v>4</v>
      </c>
      <c r="E96" s="3">
        <v>1</v>
      </c>
      <c r="F96" s="3">
        <v>6</v>
      </c>
      <c r="G96" s="3">
        <v>2</v>
      </c>
      <c r="H96" s="3">
        <v>5</v>
      </c>
    </row>
    <row r="97" spans="1:8">
      <c r="A97" s="3"/>
      <c r="B97" s="3"/>
      <c r="C97" s="3">
        <v>5</v>
      </c>
      <c r="D97" s="3">
        <v>1</v>
      </c>
      <c r="E97" s="3">
        <v>4</v>
      </c>
      <c r="F97" s="3">
        <v>7</v>
      </c>
      <c r="G97" s="3">
        <v>6</v>
      </c>
      <c r="H97" s="3">
        <v>3</v>
      </c>
    </row>
    <row r="98" spans="1:8">
      <c r="A98" s="3"/>
      <c r="B98" s="3"/>
      <c r="C98" s="3">
        <v>8</v>
      </c>
      <c r="D98" s="3">
        <v>5</v>
      </c>
      <c r="E98" s="3">
        <v>8</v>
      </c>
      <c r="F98" s="3">
        <v>5</v>
      </c>
      <c r="G98" s="3">
        <v>1</v>
      </c>
      <c r="H98" s="3">
        <v>6</v>
      </c>
    </row>
    <row r="99" spans="1:8">
      <c r="A99" s="3"/>
      <c r="B99" s="3"/>
      <c r="C99" s="3">
        <v>7</v>
      </c>
      <c r="D99" s="3">
        <v>6</v>
      </c>
      <c r="E99" s="3">
        <v>6</v>
      </c>
      <c r="F99" s="3">
        <v>2</v>
      </c>
      <c r="G99" s="3">
        <v>5</v>
      </c>
      <c r="H99" s="3">
        <v>2</v>
      </c>
    </row>
    <row r="100" spans="1:8">
      <c r="A100" s="3"/>
      <c r="B100" s="3"/>
      <c r="C100" s="3">
        <v>6</v>
      </c>
      <c r="D100" s="3">
        <v>8</v>
      </c>
      <c r="E100" s="3">
        <v>7</v>
      </c>
      <c r="F100" s="3">
        <v>8</v>
      </c>
      <c r="G100" s="3">
        <v>3</v>
      </c>
      <c r="H100" s="3">
        <v>1</v>
      </c>
    </row>
    <row r="101" spans="1:8">
      <c r="A101" s="3"/>
      <c r="B101" s="3"/>
      <c r="C101" s="3">
        <v>2</v>
      </c>
      <c r="D101" s="3">
        <v>2</v>
      </c>
      <c r="E101" s="3">
        <v>5</v>
      </c>
      <c r="F101" s="3">
        <v>4</v>
      </c>
      <c r="G101" s="3">
        <v>8</v>
      </c>
      <c r="H101" s="3">
        <v>7</v>
      </c>
    </row>
    <row r="102" spans="1:8">
      <c r="A102" s="3"/>
      <c r="B102" s="3"/>
      <c r="C102" s="3">
        <v>1</v>
      </c>
      <c r="D102" s="3">
        <v>7</v>
      </c>
      <c r="E102" s="3">
        <v>3</v>
      </c>
      <c r="F102" s="3">
        <v>1</v>
      </c>
      <c r="G102" s="3">
        <v>7</v>
      </c>
      <c r="H102" s="3">
        <v>8</v>
      </c>
    </row>
    <row r="103" spans="1:8">
      <c r="A103" s="3"/>
      <c r="B103" s="3"/>
      <c r="C103" s="3">
        <v>4</v>
      </c>
      <c r="D103" s="3">
        <v>3</v>
      </c>
      <c r="E103" s="3">
        <v>2</v>
      </c>
      <c r="F103" s="3">
        <v>3</v>
      </c>
      <c r="G103" s="3">
        <v>4</v>
      </c>
      <c r="H103" s="3">
        <v>4</v>
      </c>
    </row>
    <row r="104" spans="1:8">
      <c r="A104" s="3"/>
      <c r="B104" s="3"/>
      <c r="D104" s="3"/>
      <c r="E104" s="3"/>
      <c r="G104" s="3"/>
      <c r="H104" s="3"/>
    </row>
    <row r="105" spans="1:8">
      <c r="A105" s="3"/>
      <c r="B105" s="3"/>
      <c r="C105" s="3">
        <v>3</v>
      </c>
      <c r="D105" s="3">
        <v>7</v>
      </c>
      <c r="E105" s="3">
        <v>4</v>
      </c>
      <c r="F105" s="3">
        <v>1</v>
      </c>
      <c r="G105" s="3">
        <v>8</v>
      </c>
      <c r="H105" s="3">
        <v>6</v>
      </c>
    </row>
    <row r="106" spans="1:8">
      <c r="C106" s="3">
        <v>8</v>
      </c>
      <c r="D106" s="3">
        <v>6</v>
      </c>
      <c r="E106" s="3">
        <v>8</v>
      </c>
      <c r="F106" s="3">
        <v>3</v>
      </c>
      <c r="G106" s="3">
        <v>7</v>
      </c>
      <c r="H106" s="3">
        <v>5</v>
      </c>
    </row>
    <row r="107" spans="1:8">
      <c r="C107" s="3">
        <v>5</v>
      </c>
      <c r="D107" s="3">
        <v>2</v>
      </c>
      <c r="E107" s="3">
        <v>2</v>
      </c>
      <c r="F107" s="3">
        <v>7</v>
      </c>
      <c r="G107" s="3">
        <v>2</v>
      </c>
      <c r="H107" s="3">
        <v>3</v>
      </c>
    </row>
    <row r="108" spans="1:8">
      <c r="C108" s="3">
        <v>1</v>
      </c>
      <c r="D108" s="3">
        <v>8</v>
      </c>
      <c r="E108" s="3">
        <v>1</v>
      </c>
      <c r="F108" s="3">
        <v>8</v>
      </c>
      <c r="G108" s="3">
        <v>3</v>
      </c>
      <c r="H108" s="3">
        <v>1</v>
      </c>
    </row>
    <row r="109" spans="1:8">
      <c r="C109" s="3">
        <v>6</v>
      </c>
      <c r="D109" s="3">
        <v>5</v>
      </c>
      <c r="E109" s="3">
        <v>7</v>
      </c>
      <c r="F109" s="3">
        <v>4</v>
      </c>
      <c r="G109" s="3">
        <v>6</v>
      </c>
      <c r="H109" s="3">
        <v>2</v>
      </c>
    </row>
    <row r="110" spans="1:8">
      <c r="C110" s="3">
        <v>7</v>
      </c>
      <c r="D110" s="3">
        <v>1</v>
      </c>
      <c r="E110" s="3">
        <v>6</v>
      </c>
      <c r="F110" s="3">
        <v>5</v>
      </c>
      <c r="G110" s="3">
        <v>1</v>
      </c>
      <c r="H110" s="3">
        <v>7</v>
      </c>
    </row>
    <row r="111" spans="1:8">
      <c r="C111" s="3">
        <v>2</v>
      </c>
      <c r="D111" s="3">
        <v>4</v>
      </c>
      <c r="E111" s="3">
        <v>5</v>
      </c>
      <c r="F111" s="3">
        <v>6</v>
      </c>
      <c r="G111" s="3">
        <v>5</v>
      </c>
      <c r="H111" s="3">
        <v>8</v>
      </c>
    </row>
    <row r="112" spans="1:8">
      <c r="C112" s="3">
        <v>4</v>
      </c>
      <c r="D112" s="3">
        <v>3</v>
      </c>
      <c r="E112" s="3">
        <v>3</v>
      </c>
      <c r="F112" s="3">
        <v>2</v>
      </c>
      <c r="G112" s="3">
        <v>4</v>
      </c>
      <c r="H112" s="3">
        <v>4</v>
      </c>
    </row>
    <row r="113" spans="1:9">
      <c r="F113"/>
      <c r="I113"/>
    </row>
    <row r="114" spans="1:9">
      <c r="D114" s="3"/>
      <c r="E114" s="3"/>
      <c r="G114" s="3"/>
      <c r="H114" s="3"/>
    </row>
    <row r="116" spans="1:9">
      <c r="A116" s="3"/>
      <c r="B116" s="3"/>
      <c r="D116" s="3"/>
      <c r="E116" s="3"/>
      <c r="G116" s="3"/>
      <c r="H116" s="3"/>
    </row>
    <row r="117" spans="1:9">
      <c r="A117" s="3"/>
      <c r="B117" s="3"/>
      <c r="D117" s="3"/>
      <c r="E117" s="3"/>
      <c r="G117" s="3"/>
      <c r="H117" s="3"/>
    </row>
    <row r="118" spans="1:9">
      <c r="A118" s="3"/>
      <c r="B118" s="3"/>
      <c r="D118" s="3"/>
      <c r="E118" s="3"/>
      <c r="G118" s="3"/>
      <c r="H118" s="3"/>
    </row>
    <row r="119" spans="1:9">
      <c r="A119" s="3"/>
      <c r="B119" s="3"/>
      <c r="D119" s="3"/>
      <c r="E119" s="3"/>
      <c r="G119" s="3"/>
      <c r="H119" s="3"/>
    </row>
    <row r="120" spans="1:9">
      <c r="A120" s="3"/>
      <c r="B120" s="3"/>
      <c r="D120" s="3"/>
      <c r="E120" s="3"/>
      <c r="G120" s="3"/>
      <c r="H120" s="3"/>
    </row>
    <row r="121" spans="1:9">
      <c r="A121" s="3"/>
      <c r="B121" s="3"/>
      <c r="D121" s="3"/>
      <c r="E121" s="3"/>
      <c r="G121" s="3"/>
      <c r="H121" s="3"/>
    </row>
    <row r="122" spans="1:9">
      <c r="A122" s="3"/>
      <c r="B122" s="3"/>
      <c r="D122" s="3"/>
      <c r="E122" s="3"/>
      <c r="G122" s="3"/>
      <c r="H122" s="3"/>
    </row>
    <row r="123" spans="1:9">
      <c r="A123" s="3"/>
      <c r="B123" s="3"/>
      <c r="D123" s="3"/>
      <c r="E123" s="3"/>
      <c r="G123" s="3"/>
      <c r="H123" s="3"/>
    </row>
    <row r="124" spans="1:9">
      <c r="A124" s="3"/>
      <c r="B124" s="3"/>
      <c r="D124" s="3"/>
      <c r="E124" s="3"/>
      <c r="G124" s="3"/>
      <c r="H124" s="3"/>
    </row>
    <row r="125" spans="1:9">
      <c r="A125" s="3"/>
      <c r="B125" s="3"/>
      <c r="D125" s="3"/>
      <c r="E125" s="3"/>
      <c r="G125" s="3"/>
    </row>
    <row r="126" spans="1:9">
      <c r="A126" s="3"/>
      <c r="B126" s="3"/>
      <c r="D126" s="3"/>
      <c r="E126" s="3"/>
      <c r="G126" s="3"/>
      <c r="H126" s="3"/>
    </row>
    <row r="127" spans="1:9">
      <c r="A127" s="3"/>
      <c r="B127" s="3"/>
      <c r="D127" s="3"/>
      <c r="E127" s="3"/>
      <c r="G127" s="3"/>
      <c r="H127" s="3"/>
    </row>
    <row r="128" spans="1:9">
      <c r="A128" s="3"/>
      <c r="B128" s="3"/>
      <c r="D128" s="3"/>
      <c r="E128" s="3"/>
      <c r="G128" s="3"/>
      <c r="H128" s="3"/>
    </row>
    <row r="129" spans="1:10">
      <c r="A129" s="3"/>
      <c r="B129" s="3"/>
      <c r="D129" s="3"/>
      <c r="E129" s="3"/>
      <c r="G129" s="3"/>
      <c r="H129" s="3"/>
    </row>
    <row r="130" spans="1:10">
      <c r="A130" s="3"/>
      <c r="B130" s="3"/>
      <c r="D130" s="3"/>
      <c r="E130" s="3"/>
      <c r="G130" s="3"/>
      <c r="H130" s="3"/>
    </row>
    <row r="131" spans="1:10">
      <c r="A131" s="3"/>
      <c r="B131" s="3"/>
      <c r="D131" s="3"/>
      <c r="E131" s="3"/>
      <c r="G131" s="3"/>
      <c r="H131" s="3"/>
    </row>
    <row r="132" spans="1:10">
      <c r="A132" s="3"/>
      <c r="B132" s="3"/>
      <c r="D132" s="3"/>
      <c r="E132" s="3"/>
      <c r="G132" s="3"/>
      <c r="H132" s="3"/>
    </row>
    <row r="133" spans="1:10">
      <c r="A133" s="3"/>
      <c r="B133" s="3"/>
      <c r="D133" s="3"/>
      <c r="E133" s="3"/>
      <c r="G133" s="3"/>
      <c r="H133" s="3"/>
    </row>
    <row r="134" spans="1:10">
      <c r="A134" s="3"/>
      <c r="B134" s="3"/>
      <c r="D134" s="3"/>
      <c r="E134" s="3"/>
      <c r="G134" s="3"/>
    </row>
    <row r="135" spans="1:10">
      <c r="A135" s="3"/>
      <c r="B135" s="3"/>
      <c r="D135" s="3"/>
      <c r="E135" s="3"/>
      <c r="G135" s="3"/>
      <c r="H135" s="3"/>
    </row>
    <row r="136" spans="1:10">
      <c r="A136" s="3"/>
      <c r="B136" s="3"/>
      <c r="D136" s="3"/>
      <c r="E136" s="3"/>
      <c r="G136" s="3"/>
      <c r="H136" s="3"/>
    </row>
    <row r="137" spans="1:10">
      <c r="A137" s="3"/>
      <c r="B137" s="3"/>
      <c r="D137" s="3"/>
      <c r="E137" s="3"/>
      <c r="G137" s="3"/>
      <c r="H137" s="3"/>
    </row>
    <row r="138" spans="1:10">
      <c r="A138" s="3"/>
      <c r="B138" s="3"/>
      <c r="D138" s="3"/>
      <c r="E138" s="3"/>
      <c r="G138" s="3"/>
      <c r="H138" s="3"/>
    </row>
    <row r="139" spans="1:10">
      <c r="A139" s="3"/>
      <c r="B139" s="3"/>
      <c r="D139" s="3"/>
      <c r="E139" s="3"/>
      <c r="G139" s="3"/>
      <c r="H139" s="3"/>
    </row>
    <row r="140" spans="1:10">
      <c r="A140" s="3"/>
      <c r="B140" s="3"/>
      <c r="D140" s="3"/>
      <c r="E140" s="3"/>
      <c r="G140" s="3"/>
      <c r="H140" s="3"/>
    </row>
    <row r="141" spans="1:10">
      <c r="A141" s="3"/>
      <c r="B141" s="3"/>
      <c r="D141" s="3"/>
      <c r="E141" s="3"/>
      <c r="G141" s="3"/>
      <c r="H141" s="3"/>
    </row>
    <row r="142" spans="1:10">
      <c r="A142" s="3"/>
      <c r="B142" s="3"/>
      <c r="D142" s="3"/>
      <c r="E142" s="3"/>
      <c r="G142" s="3"/>
      <c r="H142" s="3"/>
    </row>
    <row r="143" spans="1:10">
      <c r="A143" s="3"/>
      <c r="B143" s="3"/>
      <c r="D143" s="3"/>
      <c r="E143" s="3"/>
      <c r="G143" s="3"/>
    </row>
    <row r="144" spans="1:10">
      <c r="A144" s="3"/>
      <c r="B144" s="3"/>
      <c r="D144" s="3"/>
      <c r="E144" s="3"/>
      <c r="G144" s="3"/>
      <c r="H144" s="3"/>
      <c r="J144" s="3"/>
    </row>
    <row r="145" spans="1:10">
      <c r="A145" s="3"/>
      <c r="B145" s="3"/>
      <c r="D145" s="3"/>
      <c r="E145" s="3"/>
      <c r="G145" s="3"/>
      <c r="H145" s="3"/>
      <c r="J145" s="3"/>
    </row>
    <row r="146" spans="1:10">
      <c r="A146" s="3"/>
      <c r="B146" s="3"/>
      <c r="D146" s="3"/>
      <c r="E146" s="3"/>
      <c r="G146" s="3"/>
      <c r="H146" s="3"/>
      <c r="J146" s="3"/>
    </row>
    <row r="147" spans="1:10">
      <c r="A147" s="3"/>
      <c r="B147" s="3"/>
      <c r="D147" s="3"/>
      <c r="E147" s="3"/>
      <c r="G147" s="3"/>
      <c r="H147" s="3"/>
      <c r="J147" s="3"/>
    </row>
    <row r="148" spans="1:10">
      <c r="A148" s="3"/>
      <c r="B148" s="3"/>
      <c r="D148" s="3"/>
      <c r="E148" s="3"/>
      <c r="G148" s="3"/>
      <c r="H148" s="3"/>
      <c r="J148" s="3"/>
    </row>
    <row r="149" spans="1:10">
      <c r="A149" s="3"/>
      <c r="B149" s="3"/>
      <c r="D149" s="3"/>
      <c r="E149" s="3"/>
      <c r="G149" s="3"/>
      <c r="H149" s="3"/>
      <c r="J149" s="3"/>
    </row>
    <row r="150" spans="1:10">
      <c r="A150" s="3"/>
      <c r="B150" s="3"/>
      <c r="D150" s="3"/>
      <c r="E150" s="3"/>
      <c r="G150" s="3"/>
      <c r="H150" s="3"/>
      <c r="J150" s="3"/>
    </row>
    <row r="151" spans="1:10">
      <c r="A151" s="3"/>
      <c r="B151" s="3"/>
      <c r="D151" s="3"/>
      <c r="E151" s="3"/>
      <c r="G151" s="3"/>
      <c r="H151" s="3"/>
      <c r="J151" s="3"/>
    </row>
    <row r="152" spans="1:10">
      <c r="J152" s="3"/>
    </row>
    <row r="153" spans="1:10">
      <c r="D153" s="3"/>
      <c r="E153" s="3"/>
      <c r="G153" s="3"/>
      <c r="H153" s="3"/>
      <c r="J153" s="3"/>
    </row>
    <row r="154" spans="1:10">
      <c r="J154" s="3"/>
    </row>
    <row r="155" spans="1:10">
      <c r="J155" s="3"/>
    </row>
    <row r="156" spans="1:10">
      <c r="J156" s="3"/>
    </row>
    <row r="157" spans="1:10">
      <c r="J157" s="3"/>
    </row>
    <row r="158" spans="1:10">
      <c r="J158" s="3"/>
    </row>
    <row r="159" spans="1:10">
      <c r="J159" s="3"/>
    </row>
    <row r="160" spans="1:10">
      <c r="J160" s="3"/>
    </row>
    <row r="161" spans="4:10">
      <c r="J161" s="3"/>
    </row>
    <row r="162" spans="4:10">
      <c r="J162" s="3"/>
    </row>
    <row r="163" spans="4:10">
      <c r="D163" s="3"/>
      <c r="E163" s="3"/>
      <c r="G163" s="3"/>
      <c r="H163" s="3"/>
      <c r="J163" s="3"/>
    </row>
    <row r="164" spans="4:10">
      <c r="D164" s="3"/>
      <c r="E164" s="3"/>
      <c r="G164" s="3"/>
      <c r="H164" s="3"/>
      <c r="J164" s="3"/>
    </row>
    <row r="165" spans="4:10">
      <c r="D165" s="3"/>
      <c r="E165" s="3"/>
      <c r="G165" s="3"/>
      <c r="H165" s="3"/>
      <c r="J165" s="3"/>
    </row>
    <row r="166" spans="4:10">
      <c r="D166" s="3"/>
      <c r="E166" s="3"/>
      <c r="G166" s="3"/>
      <c r="H166" s="3"/>
      <c r="J166" s="3"/>
    </row>
    <row r="167" spans="4:10">
      <c r="D167" s="3"/>
      <c r="E167" s="3"/>
      <c r="G167" s="3"/>
      <c r="H167" s="3"/>
      <c r="J167" s="3"/>
    </row>
    <row r="168" spans="4:10">
      <c r="D168" s="3"/>
      <c r="E168" s="3"/>
      <c r="G168" s="3"/>
      <c r="H168" s="3"/>
      <c r="J168" s="3"/>
    </row>
    <row r="169" spans="4:10">
      <c r="D169" s="3"/>
      <c r="E169" s="3"/>
      <c r="G169" s="3"/>
      <c r="H169" s="3"/>
    </row>
    <row r="170" spans="4:10">
      <c r="D170" s="3"/>
      <c r="E170" s="3"/>
      <c r="G170" s="3"/>
      <c r="H170" s="3"/>
    </row>
    <row r="171" spans="4:10">
      <c r="D171" s="3"/>
      <c r="E171" s="3"/>
      <c r="G171" s="3"/>
      <c r="H171" s="3"/>
    </row>
    <row r="172" spans="4:10">
      <c r="D172" s="3"/>
      <c r="E172" s="3"/>
      <c r="G172" s="3"/>
      <c r="H172" s="3"/>
    </row>
    <row r="173" spans="4:10">
      <c r="D173" s="3"/>
      <c r="E173" s="3"/>
      <c r="G173" s="3"/>
      <c r="H173" s="3"/>
    </row>
    <row r="174" spans="4:10">
      <c r="D174" s="3"/>
      <c r="E174" s="3"/>
      <c r="G174" s="3"/>
      <c r="H174" s="3"/>
    </row>
    <row r="175" spans="4:10">
      <c r="D175" s="3"/>
      <c r="E175" s="3"/>
      <c r="G175" s="3"/>
      <c r="H175" s="3"/>
    </row>
    <row r="176" spans="4:10">
      <c r="D176" s="3"/>
      <c r="E176" s="3"/>
      <c r="G176" s="3"/>
      <c r="H176" s="3"/>
    </row>
    <row r="177" spans="4:8">
      <c r="D177" s="3"/>
      <c r="E177" s="3"/>
      <c r="G177" s="3"/>
      <c r="H177" s="3"/>
    </row>
    <row r="178" spans="4:8">
      <c r="D178" s="3"/>
      <c r="E178" s="3"/>
      <c r="G178" s="3"/>
      <c r="H178" s="3"/>
    </row>
    <row r="179" spans="4:8">
      <c r="D179" s="3"/>
      <c r="E179" s="3"/>
      <c r="G179" s="3"/>
      <c r="H179" s="3"/>
    </row>
    <row r="180" spans="4:8">
      <c r="D180" s="3"/>
      <c r="E180" s="3"/>
      <c r="G180" s="3"/>
      <c r="H180" s="3"/>
    </row>
  </sheetData>
  <sortState xmlns:xlrd2="http://schemas.microsoft.com/office/spreadsheetml/2017/richdata2" ref="C158:D163">
    <sortCondition ref="D158:D163"/>
  </sortState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E969-ACBD-46B3-B078-5B5CC73830BA}">
  <dimension ref="E11:I23"/>
  <sheetViews>
    <sheetView workbookViewId="0">
      <selection activeCell="I24" sqref="I24"/>
    </sheetView>
  </sheetViews>
  <sheetFormatPr defaultRowHeight="14.5"/>
  <sheetData>
    <row r="11" spans="5:9">
      <c r="E11">
        <v>1</v>
      </c>
      <c r="F11">
        <v>20</v>
      </c>
      <c r="G11">
        <v>25</v>
      </c>
      <c r="I11">
        <v>10</v>
      </c>
    </row>
    <row r="12" spans="5:9">
      <c r="E12">
        <v>2</v>
      </c>
      <c r="F12">
        <f>G11</f>
        <v>25</v>
      </c>
      <c r="G12">
        <f>F12+5</f>
        <v>30</v>
      </c>
      <c r="I12">
        <f>I11</f>
        <v>10</v>
      </c>
    </row>
    <row r="13" spans="5:9">
      <c r="E13">
        <v>3</v>
      </c>
      <c r="F13">
        <f t="shared" ref="F13:F20" si="0">G12</f>
        <v>30</v>
      </c>
      <c r="G13">
        <f t="shared" ref="G13:G20" si="1">F13+5</f>
        <v>35</v>
      </c>
      <c r="I13">
        <f t="shared" ref="I13:I20" si="2">I12</f>
        <v>10</v>
      </c>
    </row>
    <row r="14" spans="5:9">
      <c r="E14">
        <v>4</v>
      </c>
      <c r="F14">
        <f t="shared" si="0"/>
        <v>35</v>
      </c>
      <c r="G14">
        <f t="shared" si="1"/>
        <v>40</v>
      </c>
      <c r="I14">
        <f t="shared" si="2"/>
        <v>10</v>
      </c>
    </row>
    <row r="15" spans="5:9">
      <c r="E15">
        <v>5</v>
      </c>
      <c r="F15">
        <f t="shared" si="0"/>
        <v>40</v>
      </c>
      <c r="G15">
        <f t="shared" si="1"/>
        <v>45</v>
      </c>
      <c r="I15">
        <f t="shared" si="2"/>
        <v>10</v>
      </c>
    </row>
    <row r="16" spans="5:9">
      <c r="E16">
        <v>6</v>
      </c>
      <c r="F16">
        <f t="shared" si="0"/>
        <v>45</v>
      </c>
      <c r="G16">
        <f t="shared" si="1"/>
        <v>50</v>
      </c>
      <c r="I16">
        <f t="shared" si="2"/>
        <v>10</v>
      </c>
    </row>
    <row r="17" spans="5:9">
      <c r="E17">
        <v>7</v>
      </c>
      <c r="F17">
        <f t="shared" si="0"/>
        <v>50</v>
      </c>
      <c r="G17">
        <f t="shared" si="1"/>
        <v>55</v>
      </c>
      <c r="I17">
        <f t="shared" si="2"/>
        <v>10</v>
      </c>
    </row>
    <row r="18" spans="5:9">
      <c r="E18">
        <v>8</v>
      </c>
      <c r="F18">
        <f t="shared" si="0"/>
        <v>55</v>
      </c>
      <c r="G18">
        <f t="shared" si="1"/>
        <v>60</v>
      </c>
      <c r="I18">
        <f t="shared" si="2"/>
        <v>10</v>
      </c>
    </row>
    <row r="19" spans="5:9">
      <c r="E19">
        <v>9</v>
      </c>
      <c r="F19">
        <f t="shared" si="0"/>
        <v>60</v>
      </c>
      <c r="G19">
        <f t="shared" si="1"/>
        <v>65</v>
      </c>
      <c r="I19">
        <f t="shared" si="2"/>
        <v>10</v>
      </c>
    </row>
    <row r="20" spans="5:9">
      <c r="E20">
        <v>10</v>
      </c>
      <c r="F20">
        <f t="shared" si="0"/>
        <v>65</v>
      </c>
      <c r="G20">
        <f t="shared" si="1"/>
        <v>70</v>
      </c>
      <c r="I20">
        <f t="shared" si="2"/>
        <v>10</v>
      </c>
    </row>
    <row r="23" spans="5:9">
      <c r="I23">
        <f>SUM(I11:I20)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Old</vt:lpstr>
      <vt:lpstr>Items</vt:lpstr>
      <vt:lpstr>Sheet3</vt:lpstr>
      <vt:lpstr>Sheet5</vt:lpstr>
      <vt:lpstr>Item Counterbalance</vt:lpstr>
      <vt:lpstr>Tasks</vt:lpstr>
      <vt:lpstr>Item Foils</vt:lpstr>
      <vt:lpstr>Quiz</vt:lpstr>
      <vt:lpstr>Sheet2</vt:lpstr>
      <vt:lpstr>Test Structure</vt:lpstr>
      <vt:lpstr>Quiz Revised</vt:lpstr>
      <vt:lpstr>Quiz Format</vt:lpstr>
      <vt:lpstr>Quiz Official</vt:lpstr>
      <vt:lpstr>Sheet10</vt:lpstr>
      <vt:lpstr>Sheet4</vt:lpstr>
      <vt:lpstr>item recog pic order</vt:lpstr>
      <vt:lpstr>Sheet1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Ronayne</dc:creator>
  <cp:lastModifiedBy>Richard Ronayne</cp:lastModifiedBy>
  <cp:lastPrinted>2023-05-17T03:26:50Z</cp:lastPrinted>
  <dcterms:created xsi:type="dcterms:W3CDTF">2023-03-20T00:05:05Z</dcterms:created>
  <dcterms:modified xsi:type="dcterms:W3CDTF">2023-05-18T06:23:47Z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2023-03-20T00:05:06Z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de3eea02-cc7a-409e-a0eb-17323f10e3fc</vt:lpwstr>
  </property>
  <property fmtid="{D5CDD505-2E9C-101B-9397-08002B2CF9AE}" pid="8" name="MSIP_Label_0f488380-630a-4f55-a077-a19445e3f360_ContentBits">
    <vt:lpwstr>0</vt:lpwstr>
  </property>
</Properties>
</file>